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f9bd4fc1f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131259fad9fd490f"/>
    <x:sheet xmlns:r="http://schemas.openxmlformats.org/officeDocument/2006/relationships" name="Assumptions" sheetId="2" r:id="Rd806f9332b1b4994"/>
    <x:sheet xmlns:r="http://schemas.openxmlformats.org/officeDocument/2006/relationships" name="Analytics" sheetId="3" r:id="R9f859df1cd6c4ad5"/>
    <x:sheet xmlns:r="http://schemas.openxmlformats.org/officeDocument/2006/relationships" name="Stress Tests" sheetId="4" r:id="R099730a61b50470d"/>
    <x:sheet xmlns:r="http://schemas.openxmlformats.org/officeDocument/2006/relationships" name="Dashboard" sheetId="5" r:id="R73f291fedef3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%"/>
  </x:numFmts>
  <x:fonts count="7">
    <x:font>
      <x:sz val="11"/>
      <x:name val="Carlito"/>
    </x:font>
    <x:font>
      <x:b/>
      <x:sz val="14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abea2a8a94376" /><Relationship Type="http://schemas.openxmlformats.org/officeDocument/2006/relationships/theme" Target="/xl/theme/theme1.xml" Id="R45b5cddf8cad40cf" /><Relationship Type="http://schemas.openxmlformats.org/officeDocument/2006/relationships/sharedStrings" Target="/xl/sharedStrings.xml" Id="R4a6267da50ce4955" /><Relationship Type="http://schemas.openxmlformats.org/officeDocument/2006/relationships/worksheet" Target="/xl/worksheets/sheet1.xml" Id="R131259fad9fd490f" /><Relationship Type="http://schemas.openxmlformats.org/officeDocument/2006/relationships/worksheet" Target="/xl/worksheets/sheet2.xml" Id="Rd806f9332b1b4994" /><Relationship Type="http://schemas.openxmlformats.org/officeDocument/2006/relationships/worksheet" Target="/xl/worksheets/sheet3.xml" Id="R9f859df1cd6c4ad5" /><Relationship Type="http://schemas.openxmlformats.org/officeDocument/2006/relationships/worksheet" Target="/xl/worksheets/sheet4.xml" Id="R099730a61b50470d" /><Relationship Type="http://schemas.openxmlformats.org/officeDocument/2006/relationships/worksheet" Target="/xl/worksheets/sheet5.xml" Id="R73f291fedef343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20" hidden="0" customWidth="1"/>
  </x:cols>
  <x:sheetData>
    <x:row r="1">
      <x:c r="A1" s="26" t="str">
        <x:v>Portfolio Pulse — Portfolio Inputs</x:v>
      </x:c>
      <x:c r="B1" s="26"/>
      <x:c r="C1" s="26"/>
      <x:c r="D1" s="26"/>
      <x:c r="E1" s="26"/>
      <x:c r="F1" s="26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7" t="str">
        <x:v>Investor Objective</x:v>
      </x:c>
      <x:c r="B3" s="28" t="str">
        <x:v>Long-Term Growth</x:v>
      </x:c>
      <x:c r="C3" s="27"/>
      <x:c r="D3" s="27"/>
      <x:c r="E3" s="27"/>
      <x:c r="F3" s="27"/>
      <x:c r="G3" s="27"/>
      <x:c r="H3" s="27"/>
    </x:row>
    <x:row r="4">
      <x:c r="A4" s="27" t="str">
        <x:v>Time Horizon (Years)</x:v>
      </x:c>
      <x:c r="B4" s="28" t="n">
        <x:v>10</x:v>
      </x:c>
      <x:c r="C4" s="27"/>
      <x:c r="D4" s="27"/>
      <x:c r="E4" s="27"/>
      <x:c r="F4" s="27"/>
      <x:c r="G4" s="27"/>
      <x:c r="H4" s="27"/>
    </x:row>
    <x:row r="5">
      <x:c r="A5" s="27" t="str">
        <x:v>Risk Tolerance (1-10)</x:v>
      </x:c>
      <x:c r="B5" s="28" t="n">
        <x:v>6</x:v>
      </x:c>
      <x:c r="C5" s="27"/>
      <x:c r="D5" s="27"/>
      <x:c r="E5" s="27"/>
      <x:c r="F5" s="27"/>
      <x:c r="G5" s="27"/>
      <x:c r="H5" s="27"/>
    </x:row>
    <x:row r="6">
      <x:c r="A6" s="27" t="str">
        <x:v>Hypothetical Portfolio ($)</x:v>
      </x:c>
      <x:c r="B6" s="29" t="n">
        <x:v>10000</x:v>
      </x:c>
      <x:c r="C6" s="27"/>
      <x:c r="D6" s="27"/>
      <x:c r="E6" s="27"/>
      <x:c r="F6" s="27"/>
      <x:c r="G6" s="27"/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30" t="str">
        <x:v>Asset Class</x:v>
      </x:c>
      <x:c r="B8" s="30" t="str">
        <x:v>Ticker</x:v>
      </x:c>
      <x:c r="C8" s="30" t="str">
        <x:v>Weight</x:v>
      </x:c>
      <x:c r="D8" s="30" t="str">
        <x:v>Dollar Allocation</x:v>
      </x:c>
      <x:c r="E8" s="30" t="str">
        <x:v>Role</x:v>
      </x:c>
      <x:c r="F8" s="30" t="str">
        <x:v>Input Check</x:v>
      </x:c>
      <x:c r="G8" s="27"/>
      <x:c r="H8" s="27"/>
    </x:row>
    <x:row r="9">
      <x:c r="A9" s="27" t="str">
        <x:v>US Equity</x:v>
      </x:c>
      <x:c r="B9" s="27" t="str">
        <x:v>VTI</x:v>
      </x:c>
      <x:c r="C9" s="31" t="n">
        <x:v>0.45</x:v>
      </x:c>
      <x:c r="D9" s="32" t="n">
        <x:f>$B$6*C9</x:f>
        <x:v>4500</x:v>
      </x:c>
      <x:c r="E9" s="27" t="str">
        <x:v>Core domestic equity exposure</x:v>
      </x:c>
      <x:c r="F9" s="27" t="str">
        <x:f>IF(C9&lt;0,"NEGATIVE WEIGHT",IF(C9&gt;1,"OVER 100%","OK"))</x:f>
        <x:v>OK</x:v>
      </x:c>
      <x:c r="G9" s="27"/>
      <x:c r="H9" s="27"/>
    </x:row>
    <x:row r="10">
      <x:c r="A10" s="27" t="str">
        <x:v>International Equity</x:v>
      </x:c>
      <x:c r="B10" s="27" t="str">
        <x:v>VXUS</x:v>
      </x:c>
      <x:c r="C10" s="31" t="n">
        <x:v>0.2</x:v>
      </x:c>
      <x:c r="D10" s="32" t="n">
        <x:f>$B$6*C10</x:f>
        <x:v>2000</x:v>
      </x:c>
      <x:c r="E10" s="27" t="str">
        <x:v>Diversifies geographic equity exposure</x:v>
      </x:c>
      <x:c r="F10" s="27" t="str">
        <x:f>IF(C10&lt;0,"NEGATIVE WEIGHT",IF(C10&gt;1,"OVER 100%","OK"))</x:f>
        <x:v>OK</x:v>
      </x:c>
      <x:c r="G10" s="27"/>
      <x:c r="H10" s="27"/>
    </x:row>
    <x:row r="11">
      <x:c r="A11" s="27" t="str">
        <x:v>US Investment-Grade Bonds</x:v>
      </x:c>
      <x:c r="B11" s="27" t="str">
        <x:v>AGG</x:v>
      </x:c>
      <x:c r="C11" s="31" t="n">
        <x:v>0.3</x:v>
      </x:c>
      <x:c r="D11" s="32" t="n">
        <x:f>$B$6*C11</x:f>
        <x:v>3000</x:v>
      </x:c>
      <x:c r="E11" s="27" t="str">
        <x:v>Rate / income / defensive exposure</x:v>
      </x:c>
      <x:c r="F11" s="27" t="str">
        <x:f>IF(C11&lt;0,"NEGATIVE WEIGHT",IF(C11&gt;1,"OVER 100%","OK"))</x:f>
        <x:v>OK</x:v>
      </x:c>
      <x:c r="G11" s="27"/>
      <x:c r="H11" s="27"/>
    </x:row>
    <x:row r="12">
      <x:c r="A12" s="27" t="str">
        <x:v>Short-Term US Treasuries</x:v>
      </x:c>
      <x:c r="B12" s="27" t="str">
        <x:v>SGOV</x:v>
      </x:c>
      <x:c r="C12" s="31" t="n">
        <x:v>0.05</x:v>
      </x:c>
      <x:c r="D12" s="32" t="n">
        <x:f>$B$6*C12</x:f>
        <x:v>500</x:v>
      </x:c>
      <x:c r="E12" s="27" t="str">
        <x:v>Liquidity / short-duration exposure</x:v>
      </x:c>
      <x:c r="F12" s="27" t="str">
        <x:f>IF(C12&lt;0,"NEGATIVE WEIGHT",IF(C12&gt;1,"OVER 100%","OK"))</x:f>
        <x:v>OK</x:v>
      </x:c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 t="str">
        <x:v>Weight Total</x:v>
      </x:c>
      <x:c r="B14" s="33" t="n">
        <x:f>SUM(C9:C12)</x:f>
        <x:v>1</x:v>
      </x:c>
      <x:c r="C14" s="27"/>
      <x:c r="D14" s="27"/>
      <x:c r="E14" s="27"/>
      <x:c r="F14" s="27"/>
      <x:c r="G14" s="27"/>
      <x:c r="H14" s="27"/>
    </x:row>
    <x:row r="15">
      <x:c r="A15" s="27" t="str">
        <x:v>Weight Check</x:v>
      </x:c>
      <x:c r="B15" s="33" t="str">
        <x:f>IF(ABS(B14-1)&lt;0.0001,"OK","FIX WEIGHTS")</x:f>
        <x:v>OK</x:v>
      </x:c>
      <x:c r="C15" s="27"/>
      <x:c r="D15" s="27"/>
      <x:c r="E15" s="27"/>
      <x:c r="F15" s="27"/>
      <x:c r="G15" s="27"/>
      <x:c r="H15" s="27"/>
    </x:row>
    <x:row r="16">
      <x:c r="A16" s="27" t="str">
        <x:v>Unallocated / Overallocated</x:v>
      </x:c>
      <x:c r="B16" s="33" t="n">
        <x:f>1-B14</x:f>
        <x:v>0</x:v>
      </x:c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2" hidden="0" customWidth="1"/>
  </x:cols>
  <x:sheetData>
    <x:row r="1">
      <x:c r="A1" s="26" t="str">
        <x:v>Portfolio Pulse — Assumptions &amp; Methodology</x:v>
      </x:c>
      <x:c r="B1" s="26"/>
      <x:c r="C1" s="26"/>
      <x:c r="D1" s="26"/>
      <x:c r="E1" s="27"/>
      <x:c r="F1" s="27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0" t="str">
        <x:v>Input</x:v>
      </x:c>
      <x:c r="B3" s="30" t="str">
        <x:v>Value</x:v>
      </x:c>
      <x:c r="C3" s="30" t="str">
        <x:v>Units</x:v>
      </x:c>
      <x:c r="D3" s="30" t="str">
        <x:v>Methodology Note</x:v>
      </x:c>
      <x:c r="E3" s="27"/>
      <x:c r="F3" s="27"/>
      <x:c r="G3" s="27"/>
      <x:c r="H3" s="27"/>
    </x:row>
    <x:row r="4">
      <x:c r="A4" s="27" t="str">
        <x:v>Trading Days / Year</x:v>
      </x:c>
      <x:c r="B4" s="28" t="n">
        <x:v>252</x:v>
      </x:c>
      <x:c r="C4" s="27" t="str">
        <x:v>days</x:v>
      </x:c>
      <x:c r="D4" s="27" t="str">
        <x:v>Used to annualize daily return volatility.</x:v>
      </x:c>
      <x:c r="E4" s="27"/>
      <x:c r="F4" s="27"/>
      <x:c r="G4" s="27"/>
      <x:c r="H4" s="27"/>
    </x:row>
    <x:row r="5">
      <x:c r="A5" s="27" t="str">
        <x:v>Risk-Free Rate</x:v>
      </x:c>
      <x:c r="B5" s="28" t="n">
        <x:v>0</x:v>
      </x:c>
      <x:c r="C5" s="27" t="str">
        <x:v>%</x:v>
      </x:c>
      <x:c r="D5" s="27" t="str">
        <x:v>MVP default; later configurable to a T-bill assumption.</x:v>
      </x:c>
      <x:c r="E5" s="27"/>
      <x:c r="F5" s="27"/>
      <x:c r="G5" s="27"/>
      <x:c r="H5" s="27"/>
    </x:row>
    <x:row r="6">
      <x:c r="A6" s="27" t="str">
        <x:v>Benchmark US Equity Weight</x:v>
      </x:c>
      <x:c r="B6" s="28" t="n">
        <x:v>0.6</x:v>
      </x:c>
      <x:c r="C6" s="27" t="str">
        <x:v>%</x:v>
      </x:c>
      <x:c r="D6" s="27" t="str">
        <x:v>Simple educational 60/40 benchmark.</x:v>
      </x:c>
      <x:c r="E6" s="27"/>
      <x:c r="F6" s="27"/>
      <x:c r="G6" s="27"/>
      <x:c r="H6" s="27"/>
    </x:row>
    <x:row r="7">
      <x:c r="A7" s="27" t="str">
        <x:v>Benchmark Bond Weight</x:v>
      </x:c>
      <x:c r="B7" s="28" t="n">
        <x:v>0.4</x:v>
      </x:c>
      <x:c r="C7" s="27" t="str">
        <x:v>%</x:v>
      </x:c>
      <x:c r="D7" s="27" t="str">
        <x:v>Simple educational 60/40 benchmark.</x:v>
      </x:c>
      <x:c r="E7" s="27"/>
      <x:c r="F7" s="27"/>
      <x:c r="G7" s="27"/>
      <x:c r="H7" s="27"/>
    </x:row>
    <x:row r="8">
      <x:c r="A8" s="27" t="str">
        <x:v>Initial Wealth Index</x:v>
      </x:c>
      <x:c r="B8" s="28" t="n">
        <x:v>10000</x:v>
      </x:c>
      <x:c r="C8" s="27" t="str">
        <x:v>$</x:v>
      </x:c>
      <x:c r="D8" s="27" t="str">
        <x:v>Dollar translation of historical portfolio outcomes.</x:v>
      </x:c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2" hidden="0" customWidth="1"/>
  </x:cols>
  <x:sheetData>
    <x:row r="1">
      <x:c r="A1" s="26" t="str">
        <x:v>Portfolio Pulse — Analytics Output</x:v>
      </x:c>
      <x:c r="B1" s="26"/>
      <x:c r="C1" s="26"/>
      <x:c r="D1" s="26"/>
      <x:c r="E1" s="27"/>
      <x:c r="F1" s="27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0" t="str">
        <x:v>Metric</x:v>
      </x:c>
      <x:c r="B3" s="30" t="str">
        <x:v>Portfolio</x:v>
      </x:c>
      <x:c r="C3" s="30" t="str">
        <x:v>60/40 Benchmark</x:v>
      </x:c>
      <x:c r="D3" s="30" t="str">
        <x:v>Plain-English Interpretation</x:v>
      </x:c>
      <x:c r="E3" s="27"/>
      <x:c r="F3" s="27"/>
      <x:c r="G3" s="27"/>
      <x:c r="H3" s="27"/>
    </x:row>
    <x:row r="4">
      <x:c r="A4" s="27" t="str">
        <x:v>Annualized Return</x:v>
      </x:c>
      <x:c r="B4" s="42" t="str">
        <x:v>Python output</x:v>
      </x:c>
      <x:c r="C4" s="42" t="str">
        <x:v>Python output</x:v>
      </x:c>
      <x:c r="D4" s="27" t="str">
        <x:v>Compound annual growth rate over the selected history.</x:v>
      </x:c>
      <x:c r="E4" s="27"/>
      <x:c r="F4" s="27"/>
      <x:c r="G4" s="27"/>
      <x:c r="H4" s="27"/>
    </x:row>
    <x:row r="5">
      <x:c r="A5" s="27" t="str">
        <x:v>Annualized Volatility</x:v>
      </x:c>
      <x:c r="B5" s="42" t="str">
        <x:v>Python output</x:v>
      </x:c>
      <x:c r="C5" s="42" t="str">
        <x:v>Python output</x:v>
      </x:c>
      <x:c r="D5" s="27" t="str">
        <x:v>How widely returns varied, annualized.</x:v>
      </x:c>
      <x:c r="E5" s="27"/>
      <x:c r="F5" s="27"/>
      <x:c r="G5" s="27"/>
      <x:c r="H5" s="27"/>
    </x:row>
    <x:row r="6">
      <x:c r="A6" s="27" t="str">
        <x:v>Sharpe Ratio</x:v>
      </x:c>
      <x:c r="B6" s="42" t="str">
        <x:v>Python output</x:v>
      </x:c>
      <x:c r="C6" s="42" t="str">
        <x:v>Python output</x:v>
      </x:c>
      <x:c r="D6" s="27" t="str">
        <x:v>Risk-adjusted return relative to the risk-free assumption.</x:v>
      </x:c>
      <x:c r="E6" s="27"/>
      <x:c r="F6" s="27"/>
      <x:c r="G6" s="27"/>
      <x:c r="H6" s="27"/>
    </x:row>
    <x:row r="7">
      <x:c r="A7" s="27" t="str">
        <x:v>Maximum Drawdown</x:v>
      </x:c>
      <x:c r="B7" s="42" t="str">
        <x:v>Python output</x:v>
      </x:c>
      <x:c r="C7" s="42" t="str">
        <x:v>Python output</x:v>
      </x:c>
      <x:c r="D7" s="27" t="str">
        <x:v>Largest peak-to-trough historical decline.</x:v>
      </x:c>
      <x:c r="E7" s="27"/>
      <x:c r="F7" s="27"/>
      <x:c r="G7" s="27"/>
      <x:c r="H7" s="27"/>
    </x:row>
    <x:row r="8">
      <x:c r="A8" s="27" t="str">
        <x:v>Beta vs Benchmark</x:v>
      </x:c>
      <x:c r="B8" s="42" t="str">
        <x:v>Python output</x:v>
      </x:c>
      <x:c r="C8" s="42" t="str">
        <x:v>1.00x</x:v>
      </x:c>
      <x:c r="D8" s="27" t="str">
        <x:v>Sensitivity of portfolio returns to the benchmark.</x:v>
      </x:c>
      <x:c r="E8" s="27"/>
      <x:c r="F8" s="27"/>
      <x:c r="G8" s="27"/>
      <x:c r="H8" s="27"/>
    </x:row>
    <x:row r="9">
      <x:c r="A9" s="27" t="str">
        <x:v>Excess Annualized Return</x:v>
      </x:c>
      <x:c r="B9" s="42" t="str">
        <x:v>Python output</x:v>
      </x:c>
      <x:c r="C9" s="42" t="str">
        <x:v>0.0%</x:v>
      </x:c>
      <x:c r="D9" s="27" t="str">
        <x:v>Portfolio annualized return minus benchmark annualized return.</x:v>
      </x:c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>
      <x:c r="A1" s="26" t="str">
        <x:v>Portfolio Pulse — Historical Stress Tests</x:v>
      </x:c>
      <x:c r="B1" s="26"/>
      <x:c r="C1" s="26"/>
      <x:c r="D1" s="26"/>
      <x:c r="E1" s="26"/>
      <x:c r="F1" s="26"/>
      <x:c r="G1" s="26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0" t="str">
        <x:v>Scenario</x:v>
      </x:c>
      <x:c r="B3" s="30" t="str">
        <x:v>Start</x:v>
      </x:c>
      <x:c r="C3" s="30" t="str">
        <x:v>End</x:v>
      </x:c>
      <x:c r="D3" s="30" t="str">
        <x:v>Period Return</x:v>
      </x:c>
      <x:c r="E3" s="30" t="str">
        <x:v>Max Drawdown</x:v>
      </x:c>
      <x:c r="F3" s="30" t="str">
        <x:v>Recovery Date</x:v>
      </x:c>
      <x:c r="G3" s="30" t="str">
        <x:v>Interpretation</x:v>
      </x:c>
      <x:c r="H3" s="27"/>
    </x:row>
    <x:row r="4">
      <x:c r="A4" s="27" t="str">
        <x:v>Global Financial Crisis</x:v>
      </x:c>
      <x:c r="B4" s="27" t="str">
        <x:v>2008-09-01</x:v>
      </x:c>
      <x:c r="C4" s="27" t="str">
        <x:v>2009-06-30</x:v>
      </x:c>
      <x:c r="D4" s="42" t="str">
        <x:v>Python output</x:v>
      </x:c>
      <x:c r="E4" s="42" t="str">
        <x:v>Python output</x:v>
      </x:c>
      <x:c r="F4" s="42" t="str">
        <x:v>Python output</x:v>
      </x:c>
      <x:c r="G4" s="27" t="str">
        <x:v>2008–09 crisis window.</x:v>
      </x:c>
      <x:c r="H4" s="27"/>
    </x:row>
    <x:row r="5">
      <x:c r="A5" s="27" t="str">
        <x:v>COVID Shock</x:v>
      </x:c>
      <x:c r="B5" s="27" t="str">
        <x:v>2020-02-19</x:v>
      </x:c>
      <x:c r="C5" s="27" t="str">
        <x:v>2020-08-31</x:v>
      </x:c>
      <x:c r="D5" s="42" t="str">
        <x:v>Python output</x:v>
      </x:c>
      <x:c r="E5" s="42" t="str">
        <x:v>Python output</x:v>
      </x:c>
      <x:c r="F5" s="42" t="str">
        <x:v>Python output</x:v>
      </x:c>
      <x:c r="G5" s="27" t="str">
        <x:v>2020 shock and recovery.</x:v>
      </x:c>
      <x:c r="H5" s="27"/>
    </x:row>
    <x:row r="6">
      <x:c r="A6" s="27" t="str">
        <x:v>2022 Inflation / Rate Shock</x:v>
      </x:c>
      <x:c r="B6" s="27" t="str">
        <x:v>2022-01-03</x:v>
      </x:c>
      <x:c r="C6" s="27" t="str">
        <x:v>2022-12-30</x:v>
      </x:c>
      <x:c r="D6" s="42" t="str">
        <x:v>Python output</x:v>
      </x:c>
      <x:c r="E6" s="42" t="str">
        <x:v>Python output</x:v>
      </x:c>
      <x:c r="F6" s="42" t="str">
        <x:v>Python output</x:v>
      </x:c>
      <x:c r="G6" s="27" t="str">
        <x:v>Stock/bond diversification under rising rates.</x:v>
      </x:c>
      <x:c r="H6" s="27"/>
    </x:row>
    <x:row r="7">
      <x:c r="A7" s="27"/>
      <x:c r="B7" s="27"/>
      <x:c r="C7" s="27"/>
      <x:c r="D7" s="27"/>
      <x:c r="E7" s="27"/>
      <x:c r="F7" s="27"/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4" max="4" width="28" hidden="0" customWidth="1"/>
    <x:col min="5" max="5" width="28" hidden="0" customWidth="1"/>
  </x:cols>
  <x:sheetData>
    <x:row r="1">
      <x:c r="A1" s="44" t="str">
        <x:v>Portfolio Pulse</x:v>
      </x:c>
      <x:c r="B1" s="44"/>
      <x:c r="C1" s="44"/>
      <x:c r="D1" s="44"/>
      <x:c r="E1" s="44"/>
      <x:c r="F1" s="44"/>
      <x:c r="G1" s="44"/>
      <x:c r="H1" s="44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7" t="str">
        <x:v>Interactive Multi-Asset Portfolio &amp; Risk Analytics</x:v>
      </x:c>
      <x:c r="B3" s="27"/>
      <x:c r="C3" s="27"/>
      <x:c r="D3" s="27"/>
      <x:c r="E3" s="27"/>
      <x:c r="F3" s="27"/>
      <x:c r="G3" s="27"/>
      <x:c r="H3" s="27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45" t="str">
        <x:v>Portfolio Value</x:v>
      </x:c>
      <x:c r="B5" s="32" t="n">
        <x:f>Portfolio!B6</x:f>
        <x:v>10000</x:v>
      </x:c>
      <x:c r="C5" s="27"/>
      <x:c r="D5" s="30" t="str">
        <x:v>Build Status</x:v>
      </x:c>
      <x:c r="E5" s="30" t="str">
        <x:v>State</x:v>
      </x:c>
      <x:c r="F5" s="27"/>
      <x:c r="G5" s="27"/>
      <x:c r="H5" s="27"/>
    </x:row>
    <x:row r="6">
      <x:c r="A6" s="45" t="str">
        <x:v>Risk Tolerance</x:v>
      </x:c>
      <x:c r="B6" s="27" t="n">
        <x:f>Portfolio!B5</x:f>
        <x:v>6</x:v>
      </x:c>
      <x:c r="C6" s="27"/>
      <x:c r="D6" s="27" t="str">
        <x:v>Python analytics engine</x:v>
      </x:c>
      <x:c r="E6" s="27" t="str">
        <x:v>DONE</x:v>
      </x:c>
      <x:c r="F6" s="27"/>
      <x:c r="G6" s="27"/>
      <x:c r="H6" s="27"/>
    </x:row>
    <x:row r="7">
      <x:c r="A7" s="45" t="str">
        <x:v>Weight Check</x:v>
      </x:c>
      <x:c r="B7" s="27" t="str">
        <x:f>Portfolio!B15</x:f>
        <x:v>OK</x:v>
      </x:c>
      <x:c r="C7" s="27"/>
      <x:c r="D7" s="27" t="str">
        <x:v>Excel model shell</x:v>
      </x:c>
      <x:c r="E7" s="27" t="str">
        <x:v>DONE</x:v>
      </x:c>
      <x:c r="F7" s="27"/>
      <x:c r="G7" s="27"/>
      <x:c r="H7" s="27"/>
    </x:row>
    <x:row r="8">
      <x:c r="A8" s="45" t="str">
        <x:v>Benchmark</x:v>
      </x:c>
      <x:c r="B8" s="27" t="str">
        <x:v>60% VTI / 40% AGG</x:v>
      </x:c>
      <x:c r="C8" s="27"/>
      <x:c r="D8" s="27" t="str">
        <x:v>VBA automation modules</x:v>
      </x:c>
      <x:c r="E8" s="27" t="str">
        <x:v>STARTED</x:v>
      </x:c>
      <x:c r="F8" s="27"/>
      <x:c r="G8" s="27"/>
      <x:c r="H8" s="27"/>
    </x:row>
    <x:row r="9">
      <x:c r="A9" s="45" t="str">
        <x:v>Purpose</x:v>
      </x:c>
      <x:c r="B9" s="27" t="str">
        <x:v>Educational analysis — not personalized investment advice</x:v>
      </x:c>
      <x:c r="C9" s="27"/>
      <x:c r="D9" s="27" t="str">
        <x:v>Streamlit portfolio lab</x:v>
      </x:c>
      <x:c r="E9" s="27" t="str">
        <x:v>NEXT</x:v>
      </x:c>
      <x:c r="F9" s="27"/>
      <x:c r="G9" s="27"/>
      <x:c r="H9" s="27"/>
    </x:row>
    <x:row r="10">
      <x:c r="A10" s="27"/>
      <x:c r="B10" s="27"/>
      <x:c r="C10" s="27"/>
      <x:c r="D10" s="27" t="str">
        <x:v>Attribution + market regimes</x:v>
      </x:c>
      <x:c r="E10" s="27" t="str">
        <x:v>LATER</x:v>
      </x:c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27"/>
      <x:c r="B24" s="27"/>
      <x:c r="C24" s="27"/>
      <x:c r="D24" s="27"/>
      <x:c r="E24" s="27"/>
      <x:c r="F24" s="27"/>
      <x:c r="G24" s="27"/>
      <x:c r="H24" s="27"/>
    </x:row>
    <x:row r="25">
      <x:c r="A25" s="27"/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  <x:row r="34">
      <x:c r="A34" s="27"/>
      <x:c r="B34" s="27"/>
      <x:c r="C34" s="27"/>
      <x:c r="D34" s="27"/>
      <x:c r="E34" s="27"/>
      <x:c r="F34" s="27"/>
      <x:c r="G34" s="27"/>
      <x:c r="H34" s="27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</x:sheetData>
  <x:mergeCells>
    <x:mergeCell ref="A1:H1"/>
    <x:mergeCell ref="A3:H3"/>
  </x:mergeCells>
  <x:pageMargins left="0.7" right="0.7" top="0.75" bottom="0.75" header="0.3" footer="0.3"/>
</x:worksheet>
</file>