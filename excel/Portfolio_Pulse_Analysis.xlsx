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ortfolio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Analytics" sheetId="3" state="visible" r:id="rId3"/>
    <sheet xmlns:r="http://schemas.openxmlformats.org/officeDocument/2006/relationships" name="Stress Tests" sheetId="4" state="visible" r:id="rId4"/>
    <sheet xmlns:r="http://schemas.openxmlformats.org/officeDocument/2006/relationships" name="Dashboard" sheetId="5" state="visible" r:id="rId5"/>
  </sheets>
  <definedNames/>
</workbook>
</file>

<file path=xl/styles.xml><?xml version="1.0" encoding="utf-8"?>
<styleSheet xmlns="http://schemas.openxmlformats.org/spreadsheetml/2006/main">
  <numFmts count="8">
    <numFmt numFmtId="164" formatCode="$#,##0;[Red]($#,##0);-"/>
    <numFmt numFmtId="165" formatCode="0.0%"/>
    <numFmt numFmtId="166" formatCode="yyyy-mm-dd"/>
    <numFmt numFmtId="167" formatCode="yyyy-mm-dd hh:mm"/>
    <numFmt numFmtId="168" formatCode="yyyy-mm-dd h:mm:ss"/>
    <numFmt numFmtId="169" formatCode="0.00%;[Red](0.00%);-"/>
    <numFmt numFmtId="170" formatCode="0.00x;[Red](0.00x);-"/>
    <numFmt numFmtId="171" formatCode="$#,##0.00;[Red]($#,##0.00);-"/>
  </numFmts>
  <fonts count="7">
    <font>
      <name val="Carlito"/>
      <sz val="11"/>
    </font>
    <font>
      <name val="Carlito"/>
      <b val="1"/>
      <color rgb="FFFFFFFF"/>
      <sz val="14"/>
    </font>
    <font>
      <name val="Carlito"/>
      <color rgb="FF0000FF"/>
      <sz val="11"/>
    </font>
    <font>
      <name val="Carlito"/>
      <b val="1"/>
      <color rgb="FFFFFFFF"/>
      <sz val="11"/>
    </font>
    <font>
      <name val="Carlito"/>
      <color rgb="FF008000"/>
      <sz val="11"/>
    </font>
    <font>
      <name val="Carlito"/>
      <b val="1"/>
      <color rgb="FFFFFFFF"/>
      <sz val="18"/>
    </font>
    <font>
      <name val="Carlito"/>
      <b val="1"/>
      <sz val="11"/>
    </font>
  </fonts>
  <fills count="4">
    <fill>
      <patternFill/>
    </fill>
    <fill>
      <patternFill patternType="gray125"/>
    </fill>
    <fill>
      <patternFill patternType="solid">
        <fgColor rgb="FF0B1F3A"/>
      </patternFill>
    </fill>
    <fill>
      <patternFill patternType="solid">
        <fgColor rgb="FFFFF2CC"/>
      </patternFill>
    </fill>
  </fills>
  <borders count="2">
    <border/>
    <border/>
  </borders>
  <cellStyleXfs count="1">
    <xf numFmtId="0" fontId="0" fillId="0" borderId="1"/>
  </cellStyleXfs>
  <cellXfs count="6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3" borderId="0" pivotButton="0" quotePrefix="0" xfId="0"/>
    <xf numFmtId="0" fontId="2" fillId="3" borderId="1" pivotButton="0" quotePrefix="0" xfId="0"/>
    <xf numFmtId="164" fontId="2" fillId="3" borderId="0" pivotButton="0" quotePrefix="0" xfId="0"/>
    <xf numFmtId="164" fontId="2" fillId="3" borderId="1" pivotButton="0" quotePrefix="0" xfId="0"/>
    <xf numFmtId="0" fontId="3" fillId="2" borderId="0" pivotButton="0" quotePrefix="0" xfId="0"/>
    <xf numFmtId="0" fontId="3" fillId="2" borderId="1" pivotButton="0" quotePrefix="0" xfId="0"/>
    <xf numFmtId="165" fontId="2" fillId="3" borderId="0" pivotButton="0" quotePrefix="0" xfId="0"/>
    <xf numFmtId="165" fontId="2" fillId="3" borderId="1" pivotButton="0" quotePrefix="0" xfId="0"/>
    <xf numFmtId="164" fontId="0" fillId="0" borderId="0" pivotButton="0" quotePrefix="0" xfId="0"/>
    <xf numFmtId="164" fontId="0" fillId="0" borderId="1" pivotButton="0" quotePrefix="0" xfId="0"/>
    <xf numFmtId="165" fontId="0" fillId="0" borderId="0" pivotButton="0" quotePrefix="0" xfId="0"/>
    <xf numFmtId="165" fontId="0" fillId="0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5" fillId="2" borderId="0" pivotButton="0" quotePrefix="0" xfId="0"/>
    <xf numFmtId="0" fontId="5" fillId="2" borderId="1" pivotButton="0" quotePrefix="0" xfId="0"/>
    <xf numFmtId="0" fontId="6" fillId="0" borderId="0" pivotButton="0" quotePrefix="0" xfId="0"/>
    <xf numFmtId="0" fontId="6" fillId="0" borderId="1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164" fontId="2" fillId="3" borderId="0" applyAlignment="1" pivotButton="0" quotePrefix="0" xfId="0">
      <alignment wrapText="1"/>
    </xf>
    <xf numFmtId="0" fontId="3" fillId="2" borderId="0" applyAlignment="1" pivotButton="0" quotePrefix="0" xfId="0">
      <alignment wrapText="1"/>
    </xf>
    <xf numFmtId="165" fontId="2" fillId="3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0" fontId="1" fillId="2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164" fontId="2" fillId="3" borderId="1" applyAlignment="1" pivotButton="0" quotePrefix="0" xfId="0">
      <alignment wrapText="1"/>
    </xf>
    <xf numFmtId="0" fontId="3" fillId="2" borderId="1" applyAlignment="1" pivotButton="0" quotePrefix="0" xfId="0">
      <alignment wrapText="1"/>
    </xf>
    <xf numFmtId="165" fontId="2" fillId="3" borderId="1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165" fontId="0" fillId="0" borderId="1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5" fillId="2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164" fontId="2" fillId="3" borderId="0" applyAlignment="1" pivotButton="0" quotePrefix="0" xfId="0">
      <alignment wrapText="1"/>
    </xf>
    <xf numFmtId="165" fontId="2" fillId="3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10" fontId="4" fillId="0" borderId="0" applyAlignment="1" pivotButton="0" quotePrefix="0" xfId="0">
      <alignment wrapText="1"/>
    </xf>
    <xf numFmtId="2" fontId="4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8" fontId="0" fillId="0" borderId="0" applyAlignment="1" pivotButton="0" quotePrefix="0" xfId="0">
      <alignment wrapText="1"/>
    </xf>
    <xf numFmtId="168" fontId="4" fillId="0" borderId="0" applyAlignment="1" pivotButton="0" quotePrefix="0" xfId="0">
      <alignment wrapText="1"/>
    </xf>
    <xf numFmtId="0" fontId="5" fillId="2" borderId="1" applyAlignment="1" pivotButton="0" quotePrefix="0" xfId="0">
      <alignment wrapText="1"/>
    </xf>
    <xf numFmtId="10" fontId="0" fillId="0" borderId="0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169" fontId="4" fillId="0" borderId="0" applyAlignment="1" pivotButton="0" quotePrefix="0" xfId="0">
      <alignment wrapText="1"/>
    </xf>
    <xf numFmtId="170" fontId="4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8" fontId="0" fillId="0" borderId="0" applyAlignment="1" pivotButton="0" quotePrefix="0" xfId="0">
      <alignment wrapText="1"/>
    </xf>
    <xf numFmtId="168" fontId="4" fillId="0" borderId="0" applyAlignment="1" pivotButton="0" quotePrefix="0" xfId="0">
      <alignment wrapText="1"/>
    </xf>
    <xf numFmtId="169" fontId="0" fillId="0" borderId="0" applyAlignment="1" pivotButton="0" quotePrefix="0" xfId="0">
      <alignment wrapText="1"/>
    </xf>
    <xf numFmtId="170" fontId="0" fillId="0" borderId="0" applyAlignment="1" pivotButton="0" quotePrefix="0" xfId="0">
      <alignment wrapText="1"/>
    </xf>
    <xf numFmtId="171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38" customWidth="1" min="5" max="5"/>
    <col width="20" customWidth="1" min="6" max="6"/>
  </cols>
  <sheetData>
    <row r="1">
      <c r="A1" s="34" t="inlineStr">
        <is>
          <t>Portfolio Pulse — Portfolio Inputs</t>
        </is>
      </c>
      <c r="B1" s="1" t="n"/>
      <c r="C1" s="1" t="n"/>
      <c r="D1" s="1" t="n"/>
      <c r="E1" s="1" t="n"/>
      <c r="F1" s="1" t="n"/>
      <c r="G1" s="27" t="n"/>
      <c r="H1" s="27" t="n"/>
    </row>
    <row r="2">
      <c r="A2" s="27" t="n"/>
      <c r="B2" s="27" t="n"/>
      <c r="C2" s="27" t="n"/>
      <c r="D2" s="27" t="n"/>
      <c r="E2" s="27" t="n"/>
      <c r="F2" s="27" t="n"/>
      <c r="G2" s="27" t="n"/>
      <c r="H2" s="27" t="n"/>
    </row>
    <row r="3">
      <c r="A3" s="27" t="inlineStr">
        <is>
          <t>Investor Objective</t>
        </is>
      </c>
      <c r="B3" s="28" t="inlineStr">
        <is>
          <t>Long-Term Growth</t>
        </is>
      </c>
      <c r="C3" s="27" t="n"/>
      <c r="D3" s="27" t="n"/>
      <c r="E3" s="27" t="n"/>
      <c r="F3" s="27" t="n"/>
      <c r="G3" s="27" t="n"/>
      <c r="H3" s="27" t="n"/>
    </row>
    <row r="4">
      <c r="A4" s="27" t="inlineStr">
        <is>
          <t>Time Horizon (Years)</t>
        </is>
      </c>
      <c r="B4" s="28" t="n">
        <v>10</v>
      </c>
      <c r="C4" s="27" t="n"/>
      <c r="D4" s="27" t="n"/>
      <c r="E4" s="27" t="n"/>
      <c r="F4" s="27" t="n"/>
      <c r="G4" s="27" t="n"/>
      <c r="H4" s="27" t="n"/>
    </row>
    <row r="5">
      <c r="A5" s="27" t="inlineStr">
        <is>
          <t>Risk Tolerance (1-10)</t>
        </is>
      </c>
      <c r="B5" s="28" t="n">
        <v>6</v>
      </c>
      <c r="C5" s="27" t="n"/>
      <c r="D5" s="27" t="n"/>
      <c r="E5" s="27" t="n"/>
      <c r="F5" s="27" t="n"/>
      <c r="G5" s="27" t="n"/>
      <c r="H5" s="27" t="n"/>
    </row>
    <row r="6">
      <c r="A6" s="27" t="inlineStr">
        <is>
          <t>Hypothetical Portfolio ($)</t>
        </is>
      </c>
      <c r="B6" s="46" t="n">
        <v>10000</v>
      </c>
      <c r="C6" s="27" t="n"/>
      <c r="D6" s="27" t="n"/>
      <c r="E6" s="27" t="n"/>
      <c r="F6" s="27" t="n"/>
      <c r="G6" s="27" t="n"/>
      <c r="H6" s="27" t="n"/>
    </row>
    <row r="7">
      <c r="A7" s="27" t="n"/>
      <c r="B7" s="27" t="n"/>
      <c r="C7" s="27" t="n"/>
      <c r="D7" s="27" t="n"/>
      <c r="E7" s="27" t="n"/>
      <c r="F7" s="27" t="n"/>
      <c r="G7" s="27" t="n"/>
      <c r="H7" s="27" t="n"/>
    </row>
    <row r="8">
      <c r="A8" s="30" t="inlineStr">
        <is>
          <t>Asset Class</t>
        </is>
      </c>
      <c r="B8" s="30" t="inlineStr">
        <is>
          <t>Ticker</t>
        </is>
      </c>
      <c r="C8" s="30" t="inlineStr">
        <is>
          <t>Weight</t>
        </is>
      </c>
      <c r="D8" s="30" t="inlineStr">
        <is>
          <t>Dollar Allocation</t>
        </is>
      </c>
      <c r="E8" s="30" t="inlineStr">
        <is>
          <t>Role</t>
        </is>
      </c>
      <c r="F8" s="30" t="inlineStr">
        <is>
          <t>Input Check</t>
        </is>
      </c>
      <c r="G8" s="27" t="n"/>
      <c r="H8" s="27" t="n"/>
    </row>
    <row r="9">
      <c r="A9" s="27" t="inlineStr">
        <is>
          <t>US Equity</t>
        </is>
      </c>
      <c r="B9" s="27" t="inlineStr">
        <is>
          <t>VTI</t>
        </is>
      </c>
      <c r="C9" s="47" t="n">
        <v>0.45</v>
      </c>
      <c r="D9" s="48">
        <f>$B$6*C9</f>
        <v/>
      </c>
      <c r="E9" s="27" t="inlineStr">
        <is>
          <t>Core domestic equity exposure</t>
        </is>
      </c>
      <c r="F9" s="27">
        <f>IF(C9&lt;0,"NEGATIVE WEIGHT",IF(C9&gt;1,"OVER 100%","OK"))</f>
        <v/>
      </c>
      <c r="G9" s="27" t="n"/>
      <c r="H9" s="27" t="n"/>
    </row>
    <row r="10">
      <c r="A10" s="27" t="inlineStr">
        <is>
          <t>International Equity</t>
        </is>
      </c>
      <c r="B10" s="27" t="inlineStr">
        <is>
          <t>VXUS</t>
        </is>
      </c>
      <c r="C10" s="47" t="n">
        <v>0.2</v>
      </c>
      <c r="D10" s="48">
        <f>$B$6*C10</f>
        <v/>
      </c>
      <c r="E10" s="27" t="inlineStr">
        <is>
          <t>Diversifies geographic equity exposure</t>
        </is>
      </c>
      <c r="F10" s="27">
        <f>IF(C10&lt;0,"NEGATIVE WEIGHT",IF(C10&gt;1,"OVER 100%","OK"))</f>
        <v/>
      </c>
      <c r="G10" s="27" t="n"/>
      <c r="H10" s="27" t="n"/>
    </row>
    <row r="11">
      <c r="A11" s="27" t="inlineStr">
        <is>
          <t>US Investment-Grade Bonds</t>
        </is>
      </c>
      <c r="B11" s="27" t="inlineStr">
        <is>
          <t>AGG</t>
        </is>
      </c>
      <c r="C11" s="47" t="n">
        <v>0.3</v>
      </c>
      <c r="D11" s="48">
        <f>$B$6*C11</f>
        <v/>
      </c>
      <c r="E11" s="27" t="inlineStr">
        <is>
          <t>Rate / income / defensive exposure</t>
        </is>
      </c>
      <c r="F11" s="27">
        <f>IF(C11&lt;0,"NEGATIVE WEIGHT",IF(C11&gt;1,"OVER 100%","OK"))</f>
        <v/>
      </c>
      <c r="G11" s="27" t="n"/>
      <c r="H11" s="27" t="n"/>
    </row>
    <row r="12">
      <c r="A12" s="27" t="inlineStr">
        <is>
          <t>Short-Term US Treasuries</t>
        </is>
      </c>
      <c r="B12" s="27" t="inlineStr">
        <is>
          <t>SGOV</t>
        </is>
      </c>
      <c r="C12" s="47" t="n">
        <v>0.05</v>
      </c>
      <c r="D12" s="48">
        <f>$B$6*C12</f>
        <v/>
      </c>
      <c r="E12" s="27" t="inlineStr">
        <is>
          <t>Liquidity / short-duration exposure</t>
        </is>
      </c>
      <c r="F12" s="27">
        <f>IF(C12&lt;0,"NEGATIVE WEIGHT",IF(C12&gt;1,"OVER 100%","OK"))</f>
        <v/>
      </c>
      <c r="G12" s="27" t="n"/>
      <c r="H12" s="27" t="n"/>
    </row>
    <row r="13">
      <c r="A13" s="27" t="n"/>
      <c r="B13" s="27" t="n"/>
      <c r="C13" s="27" t="n"/>
      <c r="D13" s="27" t="n"/>
      <c r="E13" s="27" t="n"/>
      <c r="F13" s="27" t="n"/>
      <c r="G13" s="27" t="n"/>
      <c r="H13" s="27" t="n"/>
    </row>
    <row r="14">
      <c r="A14" s="27" t="inlineStr">
        <is>
          <t>Weight Total</t>
        </is>
      </c>
      <c r="B14" s="49">
        <f>SUM(C9:C12)</f>
        <v/>
      </c>
      <c r="C14" s="27" t="n"/>
      <c r="D14" s="27" t="n"/>
      <c r="E14" s="27" t="n"/>
      <c r="F14" s="27" t="n"/>
      <c r="G14" s="27" t="n"/>
      <c r="H14" s="27" t="n"/>
    </row>
    <row r="15">
      <c r="A15" s="27" t="inlineStr">
        <is>
          <t>Weight Check</t>
        </is>
      </c>
      <c r="B15" s="49">
        <f>IF(ABS(B14-1)&lt;0.0001,"OK","FIX WEIGHTS")</f>
        <v/>
      </c>
      <c r="C15" s="27" t="n"/>
      <c r="D15" s="27" t="n"/>
      <c r="E15" s="27" t="n"/>
      <c r="F15" s="27" t="n"/>
      <c r="G15" s="27" t="n"/>
      <c r="H15" s="27" t="n"/>
    </row>
    <row r="16">
      <c r="A16" s="27" t="inlineStr">
        <is>
          <t>Unallocated / Overallocated</t>
        </is>
      </c>
      <c r="B16" s="49">
        <f>1-B14</f>
        <v/>
      </c>
      <c r="C16" s="27" t="n"/>
      <c r="D16" s="27" t="n"/>
      <c r="E16" s="27" t="n"/>
      <c r="F16" s="27" t="n"/>
      <c r="G16" s="27" t="n"/>
      <c r="H16" s="27" t="n"/>
    </row>
    <row r="17">
      <c r="A17" s="27" t="n"/>
      <c r="B17" s="27" t="n"/>
      <c r="C17" s="27" t="n"/>
      <c r="D17" s="27" t="n"/>
      <c r="E17" s="27" t="n"/>
      <c r="F17" s="27" t="n"/>
      <c r="G17" s="27" t="n"/>
      <c r="H17" s="27" t="n"/>
    </row>
    <row r="18">
      <c r="A18" s="27" t="n"/>
      <c r="B18" s="27" t="n"/>
      <c r="C18" s="27" t="n"/>
      <c r="D18" s="27" t="n"/>
      <c r="E18" s="27" t="n"/>
      <c r="F18" s="27" t="n"/>
      <c r="G18" s="27" t="n"/>
      <c r="H18" s="27" t="n"/>
    </row>
    <row r="19">
      <c r="A19" s="27" t="n"/>
      <c r="B19" s="27" t="n"/>
      <c r="C19" s="27" t="n"/>
      <c r="D19" s="27" t="n"/>
      <c r="E19" s="27" t="n"/>
      <c r="F19" s="27" t="n"/>
      <c r="G19" s="27" t="n"/>
      <c r="H19" s="27" t="n"/>
    </row>
    <row r="20">
      <c r="A20" s="27" t="n"/>
      <c r="B20" s="27" t="n"/>
      <c r="C20" s="27" t="n"/>
      <c r="D20" s="27" t="n"/>
      <c r="E20" s="27" t="n"/>
      <c r="F20" s="27" t="n"/>
      <c r="G20" s="27" t="n"/>
      <c r="H20" s="27" t="n"/>
    </row>
    <row r="21">
      <c r="A21" s="27" t="n"/>
      <c r="B21" s="27" t="n"/>
      <c r="C21" s="27" t="n"/>
      <c r="D21" s="27" t="n"/>
      <c r="E21" s="27" t="n"/>
      <c r="F21" s="27" t="n"/>
      <c r="G21" s="27" t="n"/>
      <c r="H21" s="27" t="n"/>
    </row>
    <row r="22">
      <c r="A22" s="27" t="n"/>
      <c r="B22" s="27" t="n"/>
      <c r="C22" s="27" t="n"/>
      <c r="D22" s="27" t="n"/>
      <c r="E22" s="27" t="n"/>
      <c r="F22" s="27" t="n"/>
      <c r="G22" s="27" t="n"/>
      <c r="H22" s="27" t="n"/>
    </row>
    <row r="23">
      <c r="A23" s="27" t="n"/>
      <c r="B23" s="27" t="n"/>
      <c r="C23" s="27" t="n"/>
      <c r="D23" s="27" t="n"/>
      <c r="E23" s="27" t="n"/>
      <c r="F23" s="27" t="n"/>
      <c r="G23" s="27" t="n"/>
      <c r="H23" s="27" t="n"/>
    </row>
    <row r="24">
      <c r="A24" s="27" t="n"/>
      <c r="B24" s="27" t="n"/>
      <c r="C24" s="27" t="n"/>
      <c r="D24" s="27" t="n"/>
      <c r="E24" s="27" t="n"/>
      <c r="F24" s="27" t="n"/>
      <c r="G24" s="27" t="n"/>
      <c r="H24" s="27" t="n"/>
    </row>
    <row r="25">
      <c r="A25" s="27" t="n"/>
      <c r="B25" s="27" t="n"/>
      <c r="C25" s="27" t="n"/>
      <c r="D25" s="27" t="n"/>
      <c r="E25" s="27" t="n"/>
      <c r="F25" s="27" t="n"/>
      <c r="G25" s="27" t="n"/>
      <c r="H25" s="27" t="n"/>
    </row>
    <row r="26">
      <c r="A26" s="27" t="n"/>
      <c r="B26" s="27" t="n"/>
      <c r="C26" s="27" t="n"/>
      <c r="D26" s="27" t="n"/>
      <c r="E26" s="27" t="n"/>
      <c r="F26" s="27" t="n"/>
      <c r="G26" s="27" t="n"/>
      <c r="H26" s="27" t="n"/>
    </row>
    <row r="27">
      <c r="A27" s="27" t="n"/>
      <c r="B27" s="27" t="n"/>
      <c r="C27" s="27" t="n"/>
      <c r="D27" s="27" t="n"/>
      <c r="E27" s="27" t="n"/>
      <c r="F27" s="27" t="n"/>
      <c r="G27" s="27" t="n"/>
      <c r="H27" s="27" t="n"/>
    </row>
    <row r="28">
      <c r="A28" s="27" t="n"/>
      <c r="B28" s="27" t="n"/>
      <c r="C28" s="27" t="n"/>
      <c r="D28" s="27" t="n"/>
      <c r="E28" s="27" t="n"/>
      <c r="F28" s="27" t="n"/>
      <c r="G28" s="27" t="n"/>
      <c r="H28" s="27" t="n"/>
    </row>
    <row r="29">
      <c r="A29" s="27" t="n"/>
      <c r="B29" s="27" t="n"/>
      <c r="C29" s="27" t="n"/>
      <c r="D29" s="27" t="n"/>
      <c r="E29" s="27" t="n"/>
      <c r="F29" s="27" t="n"/>
      <c r="G29" s="27" t="n"/>
      <c r="H29" s="27" t="n"/>
    </row>
    <row r="30">
      <c r="A30" s="27" t="n"/>
      <c r="B30" s="27" t="n"/>
      <c r="C30" s="27" t="n"/>
      <c r="D30" s="27" t="n"/>
      <c r="E30" s="27" t="n"/>
      <c r="F30" s="27" t="n"/>
      <c r="G30" s="27" t="n"/>
      <c r="H30" s="27" t="n"/>
    </row>
    <row r="31">
      <c r="A31" s="27" t="n"/>
      <c r="B31" s="27" t="n"/>
      <c r="C31" s="27" t="n"/>
      <c r="D31" s="27" t="n"/>
      <c r="E31" s="27" t="n"/>
      <c r="F31" s="27" t="n"/>
      <c r="G31" s="27" t="n"/>
      <c r="H31" s="27" t="n"/>
    </row>
    <row r="32">
      <c r="A32" s="27" t="n"/>
      <c r="B32" s="27" t="n"/>
      <c r="C32" s="27" t="n"/>
      <c r="D32" s="27" t="n"/>
      <c r="E32" s="27" t="n"/>
      <c r="F32" s="27" t="n"/>
      <c r="G32" s="27" t="n"/>
      <c r="H32" s="27" t="n"/>
    </row>
    <row r="33">
      <c r="A33" s="27" t="n"/>
      <c r="B33" s="27" t="n"/>
      <c r="C33" s="27" t="n"/>
      <c r="D33" s="27" t="n"/>
      <c r="E33" s="27" t="n"/>
      <c r="F33" s="27" t="n"/>
      <c r="G33" s="27" t="n"/>
      <c r="H33" s="27" t="n"/>
    </row>
    <row r="34">
      <c r="A34" s="27" t="n"/>
      <c r="B34" s="27" t="n"/>
      <c r="C34" s="27" t="n"/>
      <c r="D34" s="27" t="n"/>
      <c r="E34" s="27" t="n"/>
      <c r="F34" s="27" t="n"/>
      <c r="G34" s="27" t="n"/>
      <c r="H34" s="27" t="n"/>
    </row>
    <row r="35">
      <c r="A35" s="27" t="n"/>
      <c r="B35" s="27" t="n"/>
      <c r="C35" s="27" t="n"/>
      <c r="D35" s="27" t="n"/>
      <c r="E35" s="27" t="n"/>
      <c r="F35" s="27" t="n"/>
      <c r="G35" s="27" t="n"/>
      <c r="H35" s="27" t="n"/>
    </row>
    <row r="36">
      <c r="A36" s="27" t="n"/>
      <c r="B36" s="27" t="n"/>
      <c r="C36" s="27" t="n"/>
      <c r="D36" s="27" t="n"/>
      <c r="E36" s="27" t="n"/>
      <c r="F36" s="27" t="n"/>
      <c r="G36" s="27" t="n"/>
      <c r="H36" s="27" t="n"/>
    </row>
    <row r="37">
      <c r="A37" s="27" t="n"/>
      <c r="B37" s="27" t="n"/>
      <c r="C37" s="27" t="n"/>
      <c r="D37" s="27" t="n"/>
      <c r="E37" s="27" t="n"/>
      <c r="F37" s="27" t="n"/>
      <c r="G37" s="27" t="n"/>
      <c r="H37" s="27" t="n"/>
    </row>
    <row r="38">
      <c r="A38" s="27" t="n"/>
      <c r="B38" s="27" t="n"/>
      <c r="C38" s="27" t="n"/>
      <c r="D38" s="27" t="n"/>
      <c r="E38" s="27" t="n"/>
      <c r="F38" s="27" t="n"/>
      <c r="G38" s="27" t="n"/>
      <c r="H38" s="27" t="n"/>
    </row>
    <row r="39">
      <c r="A39" s="27" t="n"/>
      <c r="B39" s="27" t="n"/>
      <c r="C39" s="27" t="n"/>
      <c r="D39" s="27" t="n"/>
      <c r="E39" s="27" t="n"/>
      <c r="F39" s="27" t="n"/>
      <c r="G39" s="27" t="n"/>
      <c r="H39" s="27" t="n"/>
    </row>
    <row r="40">
      <c r="A40" s="27" t="n"/>
      <c r="B40" s="27" t="n"/>
      <c r="C40" s="27" t="n"/>
      <c r="D40" s="27" t="n"/>
      <c r="E40" s="27" t="n"/>
      <c r="F40" s="27" t="n"/>
      <c r="G40" s="27" t="n"/>
      <c r="H40" s="27" t="n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52" customWidth="1" min="4" max="4"/>
  </cols>
  <sheetData>
    <row r="1">
      <c r="A1" s="34" t="inlineStr">
        <is>
          <t>Portfolio Pulse — Assumptions &amp; Methodology</t>
        </is>
      </c>
      <c r="B1" s="1" t="n"/>
      <c r="C1" s="1" t="n"/>
      <c r="D1" s="1" t="n"/>
      <c r="E1" s="27" t="n"/>
      <c r="F1" s="27" t="n"/>
      <c r="G1" s="27" t="n"/>
      <c r="H1" s="27" t="n"/>
    </row>
    <row r="2">
      <c r="A2" s="27" t="n"/>
      <c r="B2" s="27" t="n"/>
      <c r="C2" s="27" t="n"/>
      <c r="D2" s="27" t="n"/>
      <c r="E2" s="27" t="n"/>
      <c r="F2" s="27" t="n"/>
      <c r="G2" s="27" t="n"/>
      <c r="H2" s="27" t="n"/>
    </row>
    <row r="3">
      <c r="A3" s="30" t="inlineStr">
        <is>
          <t>Input</t>
        </is>
      </c>
      <c r="B3" s="30" t="inlineStr">
        <is>
          <t>Value</t>
        </is>
      </c>
      <c r="C3" s="30" t="inlineStr">
        <is>
          <t>Units</t>
        </is>
      </c>
      <c r="D3" s="30" t="inlineStr">
        <is>
          <t>Methodology Note</t>
        </is>
      </c>
      <c r="E3" s="27" t="n"/>
      <c r="F3" s="27" t="n"/>
      <c r="G3" s="27" t="n"/>
      <c r="H3" s="27" t="n"/>
    </row>
    <row r="4">
      <c r="A4" s="27" t="inlineStr">
        <is>
          <t>Trading Days / Year</t>
        </is>
      </c>
      <c r="B4" s="28" t="n">
        <v>252</v>
      </c>
      <c r="C4" s="27" t="inlineStr">
        <is>
          <t>days</t>
        </is>
      </c>
      <c r="D4" s="27" t="inlineStr">
        <is>
          <t>Used to annualize daily return volatility.</t>
        </is>
      </c>
      <c r="E4" s="27" t="n"/>
      <c r="F4" s="27" t="n"/>
      <c r="G4" s="27" t="n"/>
      <c r="H4" s="27" t="n"/>
    </row>
    <row r="5">
      <c r="A5" s="27" t="inlineStr">
        <is>
          <t>Risk-Free Rate</t>
        </is>
      </c>
      <c r="B5" s="28" t="n">
        <v>0</v>
      </c>
      <c r="C5" s="27" t="inlineStr">
        <is>
          <t>%</t>
        </is>
      </c>
      <c r="D5" s="27" t="inlineStr">
        <is>
          <t>MVP default; later configurable to a T-bill assumption.</t>
        </is>
      </c>
      <c r="E5" s="27" t="n"/>
      <c r="F5" s="27" t="n"/>
      <c r="G5" s="27" t="n"/>
      <c r="H5" s="27" t="n"/>
    </row>
    <row r="6">
      <c r="A6" s="27" t="inlineStr">
        <is>
          <t>Benchmark US Equity Weight</t>
        </is>
      </c>
      <c r="B6" s="28" t="n">
        <v>0.6</v>
      </c>
      <c r="C6" s="27" t="inlineStr">
        <is>
          <t>%</t>
        </is>
      </c>
      <c r="D6" s="27" t="inlineStr">
        <is>
          <t>Simple educational 60/40 benchmark.</t>
        </is>
      </c>
      <c r="E6" s="27" t="n"/>
      <c r="F6" s="27" t="n"/>
      <c r="G6" s="27" t="n"/>
      <c r="H6" s="27" t="n"/>
    </row>
    <row r="7">
      <c r="A7" s="27" t="inlineStr">
        <is>
          <t>Benchmark Bond Weight</t>
        </is>
      </c>
      <c r="B7" s="28" t="n">
        <v>0.4</v>
      </c>
      <c r="C7" s="27" t="inlineStr">
        <is>
          <t>%</t>
        </is>
      </c>
      <c r="D7" s="27" t="inlineStr">
        <is>
          <t>Simple educational 60/40 benchmark.</t>
        </is>
      </c>
      <c r="E7" s="27" t="n"/>
      <c r="F7" s="27" t="n"/>
      <c r="G7" s="27" t="n"/>
      <c r="H7" s="27" t="n"/>
    </row>
    <row r="8">
      <c r="A8" s="27" t="inlineStr">
        <is>
          <t>Initial Wealth Index</t>
        </is>
      </c>
      <c r="B8" s="28" t="n">
        <v>10000</v>
      </c>
      <c r="C8" s="27" t="inlineStr">
        <is>
          <t>$</t>
        </is>
      </c>
      <c r="D8" s="27" t="inlineStr">
        <is>
          <t>Dollar translation of historical portfolio outcomes.</t>
        </is>
      </c>
      <c r="E8" s="27" t="n"/>
      <c r="F8" s="27" t="n"/>
      <c r="G8" s="27" t="n"/>
      <c r="H8" s="27" t="n"/>
    </row>
    <row r="9">
      <c r="A9" s="27" t="n"/>
      <c r="B9" s="27" t="n"/>
      <c r="C9" s="27" t="n"/>
      <c r="D9" s="27" t="n"/>
      <c r="E9" s="27" t="n"/>
      <c r="F9" s="27" t="n"/>
      <c r="G9" s="27" t="n"/>
      <c r="H9" s="27" t="n"/>
    </row>
    <row r="10">
      <c r="A10" s="27" t="n"/>
      <c r="B10" s="27" t="n"/>
      <c r="C10" s="27" t="n"/>
      <c r="D10" s="27" t="n"/>
      <c r="E10" s="27" t="n"/>
      <c r="F10" s="27" t="n"/>
      <c r="G10" s="27" t="n"/>
      <c r="H10" s="27" t="n"/>
    </row>
    <row r="11">
      <c r="A11" s="27" t="n"/>
      <c r="B11" s="27" t="n"/>
      <c r="C11" s="27" t="n"/>
      <c r="D11" s="27" t="n"/>
      <c r="E11" s="27" t="n"/>
      <c r="F11" s="27" t="n"/>
      <c r="G11" s="27" t="n"/>
      <c r="H11" s="27" t="n"/>
    </row>
    <row r="12">
      <c r="A12" s="27" t="n"/>
      <c r="B12" s="27" t="n"/>
      <c r="C12" s="27" t="n"/>
      <c r="D12" s="27" t="n"/>
      <c r="E12" s="27" t="n"/>
      <c r="F12" s="27" t="n"/>
      <c r="G12" s="27" t="n"/>
      <c r="H12" s="27" t="n"/>
    </row>
    <row r="13">
      <c r="A13" s="27" t="n"/>
      <c r="B13" s="27" t="n"/>
      <c r="C13" s="27" t="n"/>
      <c r="D13" s="27" t="n"/>
      <c r="E13" s="27" t="n"/>
      <c r="F13" s="27" t="n"/>
      <c r="G13" s="27" t="n"/>
      <c r="H13" s="27" t="n"/>
    </row>
    <row r="14">
      <c r="A14" s="27" t="n"/>
      <c r="B14" s="27" t="n"/>
      <c r="C14" s="27" t="n"/>
      <c r="D14" s="27" t="n"/>
      <c r="E14" s="27" t="n"/>
      <c r="F14" s="27" t="n"/>
      <c r="G14" s="27" t="n"/>
      <c r="H14" s="27" t="n"/>
    </row>
    <row r="15">
      <c r="A15" s="27" t="n"/>
      <c r="B15" s="27" t="n"/>
      <c r="C15" s="27" t="n"/>
      <c r="D15" s="27" t="n"/>
      <c r="E15" s="27" t="n"/>
      <c r="F15" s="27" t="n"/>
      <c r="G15" s="27" t="n"/>
      <c r="H15" s="27" t="n"/>
    </row>
    <row r="16">
      <c r="A16" s="27" t="n"/>
      <c r="B16" s="27" t="n"/>
      <c r="C16" s="27" t="n"/>
      <c r="D16" s="27" t="n"/>
      <c r="E16" s="27" t="n"/>
      <c r="F16" s="27" t="n"/>
      <c r="G16" s="27" t="n"/>
      <c r="H16" s="27" t="n"/>
    </row>
    <row r="17">
      <c r="A17" s="27" t="n"/>
      <c r="B17" s="27" t="n"/>
      <c r="C17" s="27" t="n"/>
      <c r="D17" s="27" t="n"/>
      <c r="E17" s="27" t="n"/>
      <c r="F17" s="27" t="n"/>
      <c r="G17" s="27" t="n"/>
      <c r="H17" s="27" t="n"/>
    </row>
    <row r="18">
      <c r="A18" s="27" t="n"/>
      <c r="B18" s="27" t="n"/>
      <c r="C18" s="27" t="n"/>
      <c r="D18" s="27" t="n"/>
      <c r="E18" s="27" t="n"/>
      <c r="F18" s="27" t="n"/>
      <c r="G18" s="27" t="n"/>
      <c r="H18" s="27" t="n"/>
    </row>
    <row r="19">
      <c r="A19" s="27" t="n"/>
      <c r="B19" s="27" t="n"/>
      <c r="C19" s="27" t="n"/>
      <c r="D19" s="27" t="n"/>
      <c r="E19" s="27" t="n"/>
      <c r="F19" s="27" t="n"/>
      <c r="G19" s="27" t="n"/>
      <c r="H19" s="27" t="n"/>
    </row>
    <row r="20">
      <c r="A20" s="27" t="n"/>
      <c r="B20" s="27" t="n"/>
      <c r="C20" s="27" t="n"/>
      <c r="D20" s="27" t="n"/>
      <c r="E20" s="27" t="n"/>
      <c r="F20" s="27" t="n"/>
      <c r="G20" s="27" t="n"/>
      <c r="H20" s="27" t="n"/>
    </row>
    <row r="21">
      <c r="A21" s="27" t="n"/>
      <c r="B21" s="27" t="n"/>
      <c r="C21" s="27" t="n"/>
      <c r="D21" s="27" t="n"/>
      <c r="E21" s="27" t="n"/>
      <c r="F21" s="27" t="n"/>
      <c r="G21" s="27" t="n"/>
      <c r="H21" s="27" t="n"/>
    </row>
    <row r="22">
      <c r="A22" s="27" t="n"/>
      <c r="B22" s="27" t="n"/>
      <c r="C22" s="27" t="n"/>
      <c r="D22" s="27" t="n"/>
      <c r="E22" s="27" t="n"/>
      <c r="F22" s="27" t="n"/>
      <c r="G22" s="27" t="n"/>
      <c r="H22" s="27" t="n"/>
    </row>
    <row r="23">
      <c r="A23" s="27" t="n"/>
      <c r="B23" s="27" t="n"/>
      <c r="C23" s="27" t="n"/>
      <c r="D23" s="27" t="n"/>
      <c r="E23" s="27" t="n"/>
      <c r="F23" s="27" t="n"/>
      <c r="G23" s="27" t="n"/>
      <c r="H23" s="27" t="n"/>
    </row>
    <row r="24">
      <c r="A24" s="27" t="n"/>
      <c r="B24" s="27" t="n"/>
      <c r="C24" s="27" t="n"/>
      <c r="D24" s="27" t="n"/>
      <c r="E24" s="27" t="n"/>
      <c r="F24" s="27" t="n"/>
      <c r="G24" s="27" t="n"/>
      <c r="H24" s="27" t="n"/>
    </row>
    <row r="25">
      <c r="A25" s="27" t="n"/>
      <c r="B25" s="27" t="n"/>
      <c r="C25" s="27" t="n"/>
      <c r="D25" s="27" t="n"/>
      <c r="E25" s="27" t="n"/>
      <c r="F25" s="27" t="n"/>
      <c r="G25" s="27" t="n"/>
      <c r="H25" s="27" t="n"/>
    </row>
    <row r="26">
      <c r="A26" s="27" t="n"/>
      <c r="B26" s="27" t="n"/>
      <c r="C26" s="27" t="n"/>
      <c r="D26" s="27" t="n"/>
      <c r="E26" s="27" t="n"/>
      <c r="F26" s="27" t="n"/>
      <c r="G26" s="27" t="n"/>
      <c r="H26" s="27" t="n"/>
    </row>
    <row r="27">
      <c r="A27" s="27" t="n"/>
      <c r="B27" s="27" t="n"/>
      <c r="C27" s="27" t="n"/>
      <c r="D27" s="27" t="n"/>
      <c r="E27" s="27" t="n"/>
      <c r="F27" s="27" t="n"/>
      <c r="G27" s="27" t="n"/>
      <c r="H27" s="27" t="n"/>
    </row>
    <row r="28">
      <c r="A28" s="27" t="n"/>
      <c r="B28" s="27" t="n"/>
      <c r="C28" s="27" t="n"/>
      <c r="D28" s="27" t="n"/>
      <c r="E28" s="27" t="n"/>
      <c r="F28" s="27" t="n"/>
      <c r="G28" s="27" t="n"/>
      <c r="H28" s="27" t="n"/>
    </row>
    <row r="29">
      <c r="A29" s="27" t="n"/>
      <c r="B29" s="27" t="n"/>
      <c r="C29" s="27" t="n"/>
      <c r="D29" s="27" t="n"/>
      <c r="E29" s="27" t="n"/>
      <c r="F29" s="27" t="n"/>
      <c r="G29" s="27" t="n"/>
      <c r="H29" s="27" t="n"/>
    </row>
    <row r="30">
      <c r="A30" s="27" t="n"/>
      <c r="B30" s="27" t="n"/>
      <c r="C30" s="27" t="n"/>
      <c r="D30" s="27" t="n"/>
      <c r="E30" s="27" t="n"/>
      <c r="F30" s="27" t="n"/>
      <c r="G30" s="27" t="n"/>
      <c r="H30" s="27" t="n"/>
    </row>
    <row r="31">
      <c r="A31" s="27" t="n"/>
      <c r="B31" s="27" t="n"/>
      <c r="C31" s="27" t="n"/>
      <c r="D31" s="27" t="n"/>
      <c r="E31" s="27" t="n"/>
      <c r="F31" s="27" t="n"/>
      <c r="G31" s="27" t="n"/>
      <c r="H31" s="27" t="n"/>
    </row>
    <row r="32">
      <c r="A32" s="27" t="n"/>
      <c r="B32" s="27" t="n"/>
      <c r="C32" s="27" t="n"/>
      <c r="D32" s="27" t="n"/>
      <c r="E32" s="27" t="n"/>
      <c r="F32" s="27" t="n"/>
      <c r="G32" s="27" t="n"/>
      <c r="H32" s="27" t="n"/>
    </row>
    <row r="33">
      <c r="A33" s="27" t="n"/>
      <c r="B33" s="27" t="n"/>
      <c r="C33" s="27" t="n"/>
      <c r="D33" s="27" t="n"/>
      <c r="E33" s="27" t="n"/>
      <c r="F33" s="27" t="n"/>
      <c r="G33" s="27" t="n"/>
      <c r="H33" s="27" t="n"/>
    </row>
    <row r="34">
      <c r="A34" s="27" t="n"/>
      <c r="B34" s="27" t="n"/>
      <c r="C34" s="27" t="n"/>
      <c r="D34" s="27" t="n"/>
      <c r="E34" s="27" t="n"/>
      <c r="F34" s="27" t="n"/>
      <c r="G34" s="27" t="n"/>
      <c r="H34" s="27" t="n"/>
    </row>
    <row r="35">
      <c r="A35" s="27" t="n"/>
      <c r="B35" s="27" t="n"/>
      <c r="C35" s="27" t="n"/>
      <c r="D35" s="27" t="n"/>
      <c r="E35" s="27" t="n"/>
      <c r="F35" s="27" t="n"/>
      <c r="G35" s="27" t="n"/>
      <c r="H35" s="27" t="n"/>
    </row>
    <row r="36">
      <c r="A36" s="27" t="n"/>
      <c r="B36" s="27" t="n"/>
      <c r="C36" s="27" t="n"/>
      <c r="D36" s="27" t="n"/>
      <c r="E36" s="27" t="n"/>
      <c r="F36" s="27" t="n"/>
      <c r="G36" s="27" t="n"/>
      <c r="H36" s="27" t="n"/>
    </row>
    <row r="37">
      <c r="A37" s="27" t="n"/>
      <c r="B37" s="27" t="n"/>
      <c r="C37" s="27" t="n"/>
      <c r="D37" s="27" t="n"/>
      <c r="E37" s="27" t="n"/>
      <c r="F37" s="27" t="n"/>
      <c r="G37" s="27" t="n"/>
      <c r="H37" s="27" t="n"/>
    </row>
    <row r="38">
      <c r="A38" s="27" t="n"/>
      <c r="B38" s="27" t="n"/>
      <c r="C38" s="27" t="n"/>
      <c r="D38" s="27" t="n"/>
      <c r="E38" s="27" t="n"/>
      <c r="F38" s="27" t="n"/>
      <c r="G38" s="27" t="n"/>
      <c r="H38" s="27" t="n"/>
    </row>
    <row r="39">
      <c r="A39" s="27" t="n"/>
      <c r="B39" s="27" t="n"/>
      <c r="C39" s="27" t="n"/>
      <c r="D39" s="27" t="n"/>
      <c r="E39" s="27" t="n"/>
      <c r="F39" s="27" t="n"/>
      <c r="G39" s="27" t="n"/>
      <c r="H39" s="27" t="n"/>
    </row>
    <row r="40">
      <c r="A40" s="27" t="n"/>
      <c r="B40" s="27" t="n"/>
      <c r="C40" s="27" t="n"/>
      <c r="D40" s="27" t="n"/>
      <c r="E40" s="27" t="n"/>
      <c r="F40" s="27" t="n"/>
      <c r="G40" s="27" t="n"/>
      <c r="H40" s="27" t="n"/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52" customWidth="1" min="4" max="4"/>
  </cols>
  <sheetData>
    <row r="1">
      <c r="A1" s="34" t="inlineStr">
        <is>
          <t>Portfolio Pulse — Analytics Output</t>
        </is>
      </c>
      <c r="B1" s="1" t="n"/>
      <c r="C1" s="1" t="n"/>
      <c r="D1" s="1" t="n"/>
      <c r="E1" s="27" t="n"/>
      <c r="F1" s="27" t="n"/>
      <c r="G1" s="27" t="n"/>
      <c r="H1" s="27" t="n"/>
    </row>
    <row r="2">
      <c r="A2" s="27" t="n"/>
      <c r="B2" s="27" t="n"/>
      <c r="C2" s="27" t="n"/>
      <c r="D2" s="27" t="n"/>
      <c r="E2" s="27" t="n"/>
      <c r="F2" s="27" t="n"/>
      <c r="G2" s="27" t="n"/>
      <c r="H2" s="27" t="n"/>
    </row>
    <row r="3">
      <c r="A3" s="30" t="inlineStr">
        <is>
          <t>Metric</t>
        </is>
      </c>
      <c r="B3" s="30" t="inlineStr">
        <is>
          <t>Portfolio</t>
        </is>
      </c>
      <c r="C3" s="30" t="inlineStr">
        <is>
          <t>60/40 Benchmark</t>
        </is>
      </c>
      <c r="D3" s="30" t="inlineStr">
        <is>
          <t>Plain-English Interpretation</t>
        </is>
      </c>
      <c r="E3" s="27" t="n"/>
      <c r="F3" s="27" t="n"/>
      <c r="G3" s="27" t="n"/>
      <c r="H3" s="27" t="n"/>
    </row>
    <row r="4">
      <c r="A4" s="27" t="inlineStr">
        <is>
          <t>Annualized Return</t>
        </is>
      </c>
      <c r="B4" s="59" t="n">
        <v>0.1067534197667257</v>
      </c>
      <c r="C4" s="59" t="n">
        <v>0.1032588317569594</v>
      </c>
      <c r="D4" s="27" t="inlineStr">
        <is>
          <t>Compound annual growth rate over the selected history.</t>
        </is>
      </c>
      <c r="E4" s="27" t="n"/>
      <c r="F4" s="27" t="n"/>
      <c r="G4" s="27" t="n"/>
      <c r="H4" s="27" t="n"/>
    </row>
    <row r="5">
      <c r="A5" s="27" t="inlineStr">
        <is>
          <t>Annualized Volatility</t>
        </is>
      </c>
      <c r="B5" s="59" t="n">
        <v>0.1112128591373246</v>
      </c>
      <c r="C5" s="59" t="n">
        <v>0.1107537585797139</v>
      </c>
      <c r="D5" s="27" t="inlineStr">
        <is>
          <t>How widely returns varied, annualized.</t>
        </is>
      </c>
      <c r="E5" s="27" t="n"/>
      <c r="F5" s="27" t="n"/>
      <c r="G5" s="27" t="n"/>
      <c r="H5" s="27" t="n"/>
    </row>
    <row r="6">
      <c r="A6" s="27" t="inlineStr">
        <is>
          <t>Sharpe Ratio</t>
        </is>
      </c>
      <c r="B6" s="51" t="n">
        <v>0.9599017649110848</v>
      </c>
      <c r="C6" s="51" t="n">
        <v>0.9323280137950343</v>
      </c>
      <c r="D6" s="27" t="inlineStr">
        <is>
          <t>Risk-adjusted return relative to the risk-free assumption.</t>
        </is>
      </c>
      <c r="E6" s="27" t="n"/>
      <c r="F6" s="27" t="n"/>
      <c r="G6" s="27" t="n"/>
      <c r="H6" s="27" t="n"/>
    </row>
    <row r="7">
      <c r="A7" s="27" t="inlineStr">
        <is>
          <t>Maximum Drawdown</t>
        </is>
      </c>
      <c r="B7" s="59" t="n">
        <v>-0.2164761678002022</v>
      </c>
      <c r="C7" s="59" t="n">
        <v>-0.2121551131371674</v>
      </c>
      <c r="D7" s="27" t="inlineStr">
        <is>
          <t>Largest peak-to-trough historical decline.</t>
        </is>
      </c>
      <c r="E7" s="27" t="n"/>
      <c r="F7" s="27" t="n"/>
      <c r="G7" s="27" t="n"/>
      <c r="H7" s="27" t="n"/>
    </row>
    <row r="8">
      <c r="A8" s="27" t="inlineStr">
        <is>
          <t>Beta vs Benchmark</t>
        </is>
      </c>
      <c r="B8" s="51" t="n">
        <v>0.9899183083041553</v>
      </c>
      <c r="C8" s="51" t="n">
        <v>1</v>
      </c>
      <c r="D8" s="27" t="inlineStr">
        <is>
          <t>Sensitivity of portfolio returns to the benchmark.</t>
        </is>
      </c>
      <c r="E8" s="27" t="n"/>
      <c r="F8" s="27" t="n"/>
      <c r="G8" s="27" t="n"/>
      <c r="H8" s="27" t="n"/>
    </row>
    <row r="9">
      <c r="A9" s="27" t="inlineStr">
        <is>
          <t>Excess Annualized Return</t>
        </is>
      </c>
      <c r="B9" s="59" t="n">
        <v>0.00349458800976632</v>
      </c>
      <c r="C9" s="59" t="n">
        <v>0</v>
      </c>
      <c r="D9" s="27" t="inlineStr">
        <is>
          <t>Portfolio annualized return minus benchmark annualized return.</t>
        </is>
      </c>
      <c r="E9" s="27" t="n"/>
      <c r="F9" s="27" t="n"/>
      <c r="G9" s="27" t="n"/>
      <c r="H9" s="27" t="n"/>
    </row>
    <row r="10">
      <c r="A10" s="27" t="n"/>
      <c r="B10" s="27" t="n"/>
      <c r="C10" s="27" t="n"/>
      <c r="D10" s="27" t="n"/>
      <c r="E10" s="27" t="n"/>
      <c r="F10" s="27" t="n"/>
      <c r="G10" s="27" t="n"/>
      <c r="H10" s="27" t="n"/>
    </row>
    <row r="11">
      <c r="A11" s="27" t="inlineStr">
        <is>
          <t>Analysis Start</t>
        </is>
      </c>
      <c r="B11" s="61" t="n">
        <v>43983</v>
      </c>
      <c r="C11" s="27" t="n"/>
      <c r="D11" s="27" t="n"/>
      <c r="E11" s="27" t="n"/>
      <c r="F11" s="27" t="n"/>
      <c r="G11" s="27" t="n"/>
      <c r="H11" s="27" t="n"/>
    </row>
    <row r="12">
      <c r="A12" s="27" t="inlineStr">
        <is>
          <t>Analysis End</t>
        </is>
      </c>
      <c r="B12" s="61" t="n">
        <v>46255</v>
      </c>
      <c r="C12" s="27" t="n"/>
      <c r="D12" s="27" t="n"/>
      <c r="E12" s="27" t="n"/>
      <c r="F12" s="27" t="n"/>
      <c r="G12" s="27" t="n"/>
      <c r="H12" s="27" t="n"/>
    </row>
    <row r="13">
      <c r="A13" s="27" t="inlineStr">
        <is>
          <t>Last Python Refresh</t>
        </is>
      </c>
      <c r="B13" s="62" t="n">
        <v>46256.44680413411</v>
      </c>
      <c r="C13" s="27" t="n"/>
      <c r="D13" s="27" t="n"/>
      <c r="E13" s="27" t="n"/>
      <c r="F13" s="27" t="n"/>
      <c r="G13" s="27" t="n"/>
      <c r="H13" s="27" t="n"/>
    </row>
    <row r="14">
      <c r="A14" s="27" t="inlineStr">
        <is>
          <t>Portfolio Weights Used</t>
        </is>
      </c>
      <c r="B14" s="27" t="inlineStr">
        <is>
          <t>VTI 45.0%, VXUS 20.0%, AGG 30.0%, SGOV 5.0%</t>
        </is>
      </c>
      <c r="C14" s="27" t="n"/>
      <c r="D14" s="27" t="n"/>
      <c r="E14" s="27" t="n"/>
      <c r="F14" s="27" t="n"/>
      <c r="G14" s="27" t="n"/>
      <c r="H14" s="27" t="n"/>
    </row>
    <row r="15">
      <c r="A15" s="27" t="n"/>
      <c r="B15" s="27" t="n"/>
      <c r="C15" s="27" t="n"/>
      <c r="D15" s="27" t="n"/>
      <c r="E15" s="27" t="n"/>
      <c r="F15" s="27" t="n"/>
      <c r="G15" s="27" t="n"/>
      <c r="H15" s="27" t="n"/>
    </row>
    <row r="16">
      <c r="A16" s="27" t="n"/>
      <c r="B16" s="27" t="n"/>
      <c r="C16" s="27" t="n"/>
      <c r="D16" s="27" t="n"/>
      <c r="E16" s="27" t="n"/>
      <c r="F16" s="27" t="n"/>
      <c r="G16" s="27" t="n"/>
      <c r="H16" s="27" t="n"/>
    </row>
    <row r="17">
      <c r="A17" s="27" t="n"/>
      <c r="B17" s="27" t="n"/>
      <c r="C17" s="27" t="n"/>
      <c r="D17" s="27" t="n"/>
      <c r="E17" s="27" t="n"/>
      <c r="F17" s="27" t="n"/>
      <c r="G17" s="27" t="n"/>
      <c r="H17" s="27" t="n"/>
    </row>
    <row r="18">
      <c r="A18" s="27" t="n"/>
      <c r="B18" s="27" t="n"/>
      <c r="C18" s="27" t="n"/>
      <c r="D18" s="27" t="n"/>
      <c r="E18" s="27" t="n"/>
      <c r="F18" s="27" t="n"/>
      <c r="G18" s="27" t="n"/>
      <c r="H18" s="27" t="n"/>
    </row>
    <row r="19">
      <c r="A19" s="27" t="n"/>
      <c r="B19" s="27" t="n"/>
      <c r="C19" s="27" t="n"/>
      <c r="D19" s="27" t="n"/>
      <c r="E19" s="27" t="n"/>
      <c r="F19" s="27" t="n"/>
      <c r="G19" s="27" t="n"/>
      <c r="H19" s="27" t="n"/>
    </row>
    <row r="20">
      <c r="A20" s="27" t="n"/>
      <c r="B20" s="27" t="n"/>
      <c r="C20" s="27" t="n"/>
      <c r="D20" s="27" t="n"/>
      <c r="E20" s="27" t="n"/>
      <c r="F20" s="27" t="n"/>
      <c r="G20" s="27" t="n"/>
      <c r="H20" s="27" t="n"/>
    </row>
    <row r="21">
      <c r="A21" s="27" t="n"/>
      <c r="B21" s="27" t="n"/>
      <c r="C21" s="27" t="n"/>
      <c r="D21" s="27" t="n"/>
      <c r="E21" s="27" t="n"/>
      <c r="F21" s="27" t="n"/>
      <c r="G21" s="27" t="n"/>
      <c r="H21" s="27" t="n"/>
    </row>
    <row r="22">
      <c r="A22" s="27" t="n"/>
      <c r="B22" s="27" t="n"/>
      <c r="C22" s="27" t="n"/>
      <c r="D22" s="27" t="n"/>
      <c r="E22" s="27" t="n"/>
      <c r="F22" s="27" t="n"/>
      <c r="G22" s="27" t="n"/>
      <c r="H22" s="27" t="n"/>
    </row>
    <row r="23">
      <c r="A23" s="27" t="n"/>
      <c r="B23" s="27" t="n"/>
      <c r="C23" s="27" t="n"/>
      <c r="D23" s="27" t="n"/>
      <c r="E23" s="27" t="n"/>
      <c r="F23" s="27" t="n"/>
      <c r="G23" s="27" t="n"/>
      <c r="H23" s="27" t="n"/>
    </row>
    <row r="24">
      <c r="A24" s="27" t="n"/>
      <c r="B24" s="27" t="n"/>
      <c r="C24" s="27" t="n"/>
      <c r="D24" s="27" t="n"/>
      <c r="E24" s="27" t="n"/>
      <c r="F24" s="27" t="n"/>
      <c r="G24" s="27" t="n"/>
      <c r="H24" s="27" t="n"/>
    </row>
    <row r="25">
      <c r="A25" s="27" t="n"/>
      <c r="B25" s="27" t="n"/>
      <c r="C25" s="27" t="n"/>
      <c r="D25" s="27" t="n"/>
      <c r="E25" s="27" t="n"/>
      <c r="F25" s="27" t="n"/>
      <c r="G25" s="27" t="n"/>
      <c r="H25" s="27" t="n"/>
    </row>
    <row r="26">
      <c r="A26" s="27" t="n"/>
      <c r="B26" s="27" t="n"/>
      <c r="C26" s="27" t="n"/>
      <c r="D26" s="27" t="n"/>
      <c r="E26" s="27" t="n"/>
      <c r="F26" s="27" t="n"/>
      <c r="G26" s="27" t="n"/>
      <c r="H26" s="27" t="n"/>
    </row>
    <row r="27">
      <c r="A27" s="27" t="n"/>
      <c r="B27" s="27" t="n"/>
      <c r="C27" s="27" t="n"/>
      <c r="D27" s="27" t="n"/>
      <c r="E27" s="27" t="n"/>
      <c r="F27" s="27" t="n"/>
      <c r="G27" s="27" t="n"/>
      <c r="H27" s="27" t="n"/>
    </row>
    <row r="28">
      <c r="A28" s="27" t="n"/>
      <c r="B28" s="27" t="n"/>
      <c r="C28" s="27" t="n"/>
      <c r="D28" s="27" t="n"/>
      <c r="E28" s="27" t="n"/>
      <c r="F28" s="27" t="n"/>
      <c r="G28" s="27" t="n"/>
      <c r="H28" s="27" t="n"/>
    </row>
    <row r="29">
      <c r="A29" s="27" t="n"/>
      <c r="B29" s="27" t="n"/>
      <c r="C29" s="27" t="n"/>
      <c r="D29" s="27" t="n"/>
      <c r="E29" s="27" t="n"/>
      <c r="F29" s="27" t="n"/>
      <c r="G29" s="27" t="n"/>
      <c r="H29" s="27" t="n"/>
    </row>
    <row r="30">
      <c r="A30" s="27" t="n"/>
      <c r="B30" s="27" t="n"/>
      <c r="C30" s="27" t="n"/>
      <c r="D30" s="27" t="n"/>
      <c r="E30" s="27" t="n"/>
      <c r="F30" s="27" t="n"/>
      <c r="G30" s="27" t="n"/>
      <c r="H30" s="27" t="n"/>
    </row>
    <row r="31">
      <c r="A31" s="27" t="n"/>
      <c r="B31" s="27" t="n"/>
      <c r="C31" s="27" t="n"/>
      <c r="D31" s="27" t="n"/>
      <c r="E31" s="27" t="n"/>
      <c r="F31" s="27" t="n"/>
      <c r="G31" s="27" t="n"/>
      <c r="H31" s="27" t="n"/>
    </row>
    <row r="32">
      <c r="A32" s="27" t="n"/>
      <c r="B32" s="27" t="n"/>
      <c r="C32" s="27" t="n"/>
      <c r="D32" s="27" t="n"/>
      <c r="E32" s="27" t="n"/>
      <c r="F32" s="27" t="n"/>
      <c r="G32" s="27" t="n"/>
      <c r="H32" s="27" t="n"/>
    </row>
    <row r="33">
      <c r="A33" s="27" t="n"/>
      <c r="B33" s="27" t="n"/>
      <c r="C33" s="27" t="n"/>
      <c r="D33" s="27" t="n"/>
      <c r="E33" s="27" t="n"/>
      <c r="F33" s="27" t="n"/>
      <c r="G33" s="27" t="n"/>
      <c r="H33" s="27" t="n"/>
    </row>
    <row r="34">
      <c r="A34" s="27" t="n"/>
      <c r="B34" s="27" t="n"/>
      <c r="C34" s="27" t="n"/>
      <c r="D34" s="27" t="n"/>
      <c r="E34" s="27" t="n"/>
      <c r="F34" s="27" t="n"/>
      <c r="G34" s="27" t="n"/>
      <c r="H34" s="27" t="n"/>
    </row>
    <row r="35">
      <c r="A35" s="27" t="n"/>
      <c r="B35" s="27" t="n"/>
      <c r="C35" s="27" t="n"/>
      <c r="D35" s="27" t="n"/>
      <c r="E35" s="27" t="n"/>
      <c r="F35" s="27" t="n"/>
      <c r="G35" s="27" t="n"/>
      <c r="H35" s="27" t="n"/>
    </row>
    <row r="36">
      <c r="A36" s="27" t="n"/>
      <c r="B36" s="27" t="n"/>
      <c r="C36" s="27" t="n"/>
      <c r="D36" s="27" t="n"/>
      <c r="E36" s="27" t="n"/>
      <c r="F36" s="27" t="n"/>
      <c r="G36" s="27" t="n"/>
      <c r="H36" s="27" t="n"/>
    </row>
    <row r="37">
      <c r="A37" s="27" t="n"/>
      <c r="B37" s="27" t="n"/>
      <c r="C37" s="27" t="n"/>
      <c r="D37" s="27" t="n"/>
      <c r="E37" s="27" t="n"/>
      <c r="F37" s="27" t="n"/>
      <c r="G37" s="27" t="n"/>
      <c r="H37" s="27" t="n"/>
    </row>
    <row r="38">
      <c r="A38" s="27" t="n"/>
      <c r="B38" s="27" t="n"/>
      <c r="C38" s="27" t="n"/>
      <c r="D38" s="27" t="n"/>
      <c r="E38" s="27" t="n"/>
      <c r="F38" s="27" t="n"/>
      <c r="G38" s="27" t="n"/>
      <c r="H38" s="27" t="n"/>
    </row>
    <row r="39">
      <c r="A39" s="27" t="n"/>
      <c r="B39" s="27" t="n"/>
      <c r="C39" s="27" t="n"/>
      <c r="D39" s="27" t="n"/>
      <c r="E39" s="27" t="n"/>
      <c r="F39" s="27" t="n"/>
      <c r="G39" s="27" t="n"/>
      <c r="H39" s="27" t="n"/>
    </row>
    <row r="40">
      <c r="A40" s="27" t="n"/>
      <c r="B40" s="27" t="n"/>
      <c r="C40" s="27" t="n"/>
      <c r="D40" s="27" t="n"/>
      <c r="E40" s="27" t="n"/>
      <c r="F40" s="27" t="n"/>
      <c r="G40" s="27" t="n"/>
      <c r="H40" s="27" t="n"/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48" customWidth="1" min="7" max="7"/>
  </cols>
  <sheetData>
    <row r="1">
      <c r="A1" s="34" t="inlineStr">
        <is>
          <t>Portfolio Pulse — Historical Stress Tests</t>
        </is>
      </c>
      <c r="B1" s="1" t="n"/>
      <c r="C1" s="1" t="n"/>
      <c r="D1" s="1" t="n"/>
      <c r="E1" s="1" t="n"/>
      <c r="F1" s="1" t="n"/>
      <c r="G1" s="1" t="n"/>
      <c r="H1" s="27" t="n"/>
    </row>
    <row r="2">
      <c r="A2" s="27" t="n"/>
      <c r="B2" s="27" t="n"/>
      <c r="C2" s="27" t="n"/>
      <c r="D2" s="27" t="n"/>
      <c r="E2" s="27" t="n"/>
      <c r="F2" s="27" t="n"/>
      <c r="G2" s="27" t="n"/>
      <c r="H2" s="27" t="n"/>
    </row>
    <row r="3">
      <c r="A3" s="30" t="inlineStr">
        <is>
          <t>Scenario</t>
        </is>
      </c>
      <c r="B3" s="30" t="inlineStr">
        <is>
          <t>Start</t>
        </is>
      </c>
      <c r="C3" s="30" t="inlineStr">
        <is>
          <t>End</t>
        </is>
      </c>
      <c r="D3" s="30" t="inlineStr">
        <is>
          <t>Period Return</t>
        </is>
      </c>
      <c r="E3" s="30" t="inlineStr">
        <is>
          <t>Max Drawdown</t>
        </is>
      </c>
      <c r="F3" s="30" t="inlineStr">
        <is>
          <t>Recovery Date</t>
        </is>
      </c>
      <c r="G3" s="30" t="inlineStr">
        <is>
          <t>Interpretation</t>
        </is>
      </c>
      <c r="H3" s="27" t="n"/>
    </row>
    <row r="4">
      <c r="A4" s="27" t="inlineStr">
        <is>
          <t>Global Financial Crisis</t>
        </is>
      </c>
      <c r="B4" s="63" t="n">
        <v>39693</v>
      </c>
      <c r="C4" s="63" t="n">
        <v>39994</v>
      </c>
      <c r="D4" s="59" t="n">
        <v>-0.1358431233388888</v>
      </c>
      <c r="E4" s="59" t="n">
        <v>-0.3226066677349696</v>
      </c>
      <c r="F4" s="42" t="inlineStr">
        <is>
          <t>Not recovered by scenario end</t>
        </is>
      </c>
      <c r="G4" s="27" t="inlineStr">
        <is>
          <t>2008–09 crisis window.</t>
        </is>
      </c>
      <c r="H4" s="27" t="n"/>
    </row>
    <row r="5">
      <c r="A5" s="27" t="inlineStr">
        <is>
          <t>COVID Shock</t>
        </is>
      </c>
      <c r="B5" s="63" t="n">
        <v>43880</v>
      </c>
      <c r="C5" s="63" t="n">
        <v>44074</v>
      </c>
      <c r="D5" s="59" t="n">
        <v>0.03974826427552292</v>
      </c>
      <c r="E5" s="59" t="n">
        <v>-0.2356413951995159</v>
      </c>
      <c r="F5" s="64" t="n">
        <v>44032</v>
      </c>
      <c r="G5" s="27" t="inlineStr">
        <is>
          <t>2020 shock and recovery.</t>
        </is>
      </c>
      <c r="H5" s="27" t="n"/>
    </row>
    <row r="6">
      <c r="A6" s="27" t="inlineStr">
        <is>
          <t>2022 Inflation / Rate Shock</t>
        </is>
      </c>
      <c r="B6" s="63" t="n">
        <v>44564</v>
      </c>
      <c r="C6" s="63" t="n">
        <v>44925</v>
      </c>
      <c r="D6" s="59" t="n">
        <v>-0.1557684761581278</v>
      </c>
      <c r="E6" s="59" t="n">
        <v>-0.2123042014079785</v>
      </c>
      <c r="F6" s="42" t="inlineStr">
        <is>
          <t>Not recovered by scenario end</t>
        </is>
      </c>
      <c r="G6" s="27" t="inlineStr">
        <is>
          <t>Stock/bond diversification under rising rates.</t>
        </is>
      </c>
      <c r="H6" s="27" t="n"/>
    </row>
    <row r="7">
      <c r="A7" s="27" t="n"/>
      <c r="B7" s="27" t="n"/>
      <c r="C7" s="27" t="n"/>
      <c r="D7" s="27" t="n"/>
      <c r="E7" s="27" t="n"/>
      <c r="F7" s="27" t="n"/>
      <c r="G7" s="27" t="n"/>
      <c r="H7" s="27" t="n"/>
    </row>
    <row r="8">
      <c r="A8" s="27" t="n"/>
      <c r="B8" s="27" t="n"/>
      <c r="C8" s="27" t="n"/>
      <c r="D8" s="27" t="n"/>
      <c r="E8" s="27" t="n"/>
      <c r="F8" s="27" t="n"/>
      <c r="G8" s="27" t="n"/>
      <c r="H8" s="27" t="n"/>
    </row>
    <row r="9">
      <c r="A9" s="27" t="n"/>
      <c r="B9" s="27" t="n"/>
      <c r="C9" s="27" t="n"/>
      <c r="D9" s="27" t="n"/>
      <c r="E9" s="27" t="n"/>
      <c r="F9" s="27" t="n"/>
      <c r="G9" s="27" t="n"/>
      <c r="H9" s="27" t="n"/>
    </row>
    <row r="10">
      <c r="A10" s="27" t="n"/>
      <c r="B10" s="27" t="n"/>
      <c r="C10" s="27" t="n"/>
      <c r="D10" s="27" t="n"/>
      <c r="E10" s="27" t="n"/>
      <c r="F10" s="27" t="n"/>
      <c r="G10" s="27" t="n"/>
      <c r="H10" s="27" t="n"/>
    </row>
    <row r="11">
      <c r="A11" s="27" t="n"/>
      <c r="B11" s="27" t="n"/>
      <c r="C11" s="27" t="n"/>
      <c r="D11" s="27" t="n"/>
      <c r="E11" s="27" t="n"/>
      <c r="F11" s="27" t="n"/>
      <c r="G11" s="27" t="n"/>
      <c r="H11" s="27" t="n"/>
    </row>
    <row r="12">
      <c r="A12" s="27" t="n"/>
      <c r="B12" s="27" t="n"/>
      <c r="C12" s="27" t="n"/>
      <c r="D12" s="27" t="n"/>
      <c r="E12" s="27" t="n"/>
      <c r="F12" s="27" t="n"/>
      <c r="G12" s="27" t="n"/>
      <c r="H12" s="27" t="n"/>
    </row>
    <row r="13">
      <c r="A13" s="27" t="n"/>
      <c r="B13" s="27" t="n"/>
      <c r="C13" s="27" t="n"/>
      <c r="D13" s="27" t="n"/>
      <c r="E13" s="27" t="n"/>
      <c r="F13" s="27" t="n"/>
      <c r="G13" s="27" t="n"/>
      <c r="H13" s="27" t="n"/>
    </row>
    <row r="14">
      <c r="A14" s="27" t="n"/>
      <c r="B14" s="27" t="n"/>
      <c r="C14" s="27" t="n"/>
      <c r="D14" s="27" t="n"/>
      <c r="E14" s="27" t="n"/>
      <c r="F14" s="27" t="n"/>
      <c r="G14" s="27" t="n"/>
      <c r="H14" s="27" t="n"/>
    </row>
    <row r="15">
      <c r="A15" s="27" t="n"/>
      <c r="B15" s="27" t="n"/>
      <c r="C15" s="27" t="n"/>
      <c r="D15" s="27" t="n"/>
      <c r="E15" s="27" t="n"/>
      <c r="F15" s="27" t="n"/>
      <c r="G15" s="27" t="n"/>
      <c r="H15" s="27" t="n"/>
    </row>
    <row r="16">
      <c r="A16" s="27" t="n"/>
      <c r="B16" s="27" t="n"/>
      <c r="C16" s="27" t="n"/>
      <c r="D16" s="27" t="n"/>
      <c r="E16" s="27" t="n"/>
      <c r="F16" s="27" t="n"/>
      <c r="G16" s="27" t="n"/>
      <c r="H16" s="27" t="n"/>
    </row>
    <row r="17">
      <c r="A17" s="27" t="n"/>
      <c r="B17" s="27" t="n"/>
      <c r="C17" s="27" t="n"/>
      <c r="D17" s="27" t="n"/>
      <c r="E17" s="27" t="n"/>
      <c r="F17" s="27" t="n"/>
      <c r="G17" s="27" t="n"/>
      <c r="H17" s="27" t="n"/>
    </row>
    <row r="18">
      <c r="A18" s="27" t="n"/>
      <c r="B18" s="27" t="n"/>
      <c r="C18" s="27" t="n"/>
      <c r="D18" s="27" t="n"/>
      <c r="E18" s="27" t="n"/>
      <c r="F18" s="27" t="n"/>
      <c r="G18" s="27" t="n"/>
      <c r="H18" s="27" t="n"/>
    </row>
    <row r="19">
      <c r="A19" s="27" t="n"/>
      <c r="B19" s="27" t="n"/>
      <c r="C19" s="27" t="n"/>
      <c r="D19" s="27" t="n"/>
      <c r="E19" s="27" t="n"/>
      <c r="F19" s="27" t="n"/>
      <c r="G19" s="27" t="n"/>
      <c r="H19" s="27" t="n"/>
    </row>
    <row r="20">
      <c r="A20" s="27" t="n"/>
      <c r="B20" s="27" t="n"/>
      <c r="C20" s="27" t="n"/>
      <c r="D20" s="27" t="n"/>
      <c r="E20" s="27" t="n"/>
      <c r="F20" s="27" t="n"/>
      <c r="G20" s="27" t="n"/>
      <c r="H20" s="27" t="n"/>
    </row>
    <row r="21">
      <c r="A21" s="27" t="n"/>
      <c r="B21" s="27" t="n"/>
      <c r="C21" s="27" t="n"/>
      <c r="D21" s="27" t="n"/>
      <c r="E21" s="27" t="n"/>
      <c r="F21" s="27" t="n"/>
      <c r="G21" s="27" t="n"/>
      <c r="H21" s="27" t="n"/>
    </row>
    <row r="22">
      <c r="A22" s="27" t="n"/>
      <c r="B22" s="27" t="n"/>
      <c r="C22" s="27" t="n"/>
      <c r="D22" s="27" t="n"/>
      <c r="E22" s="27" t="n"/>
      <c r="F22" s="27" t="n"/>
      <c r="G22" s="27" t="n"/>
      <c r="H22" s="27" t="n"/>
    </row>
    <row r="23">
      <c r="A23" s="27" t="n"/>
      <c r="B23" s="27" t="n"/>
      <c r="C23" s="27" t="n"/>
      <c r="D23" s="27" t="n"/>
      <c r="E23" s="27" t="n"/>
      <c r="F23" s="27" t="n"/>
      <c r="G23" s="27" t="n"/>
      <c r="H23" s="27" t="n"/>
    </row>
    <row r="24">
      <c r="A24" s="27" t="n"/>
      <c r="B24" s="27" t="n"/>
      <c r="C24" s="27" t="n"/>
      <c r="D24" s="27" t="n"/>
      <c r="E24" s="27" t="n"/>
      <c r="F24" s="27" t="n"/>
      <c r="G24" s="27" t="n"/>
      <c r="H24" s="27" t="n"/>
    </row>
    <row r="25">
      <c r="A25" s="27" t="n"/>
      <c r="B25" s="27" t="n"/>
      <c r="C25" s="27" t="n"/>
      <c r="D25" s="27" t="n"/>
      <c r="E25" s="27" t="n"/>
      <c r="F25" s="27" t="n"/>
      <c r="G25" s="27" t="n"/>
      <c r="H25" s="27" t="n"/>
    </row>
    <row r="26">
      <c r="A26" s="27" t="n"/>
      <c r="B26" s="27" t="n"/>
      <c r="C26" s="27" t="n"/>
      <c r="D26" s="27" t="n"/>
      <c r="E26" s="27" t="n"/>
      <c r="F26" s="27" t="n"/>
      <c r="G26" s="27" t="n"/>
      <c r="H26" s="27" t="n"/>
    </row>
    <row r="27">
      <c r="A27" s="27" t="n"/>
      <c r="B27" s="27" t="n"/>
      <c r="C27" s="27" t="n"/>
      <c r="D27" s="27" t="n"/>
      <c r="E27" s="27" t="n"/>
      <c r="F27" s="27" t="n"/>
      <c r="G27" s="27" t="n"/>
      <c r="H27" s="27" t="n"/>
    </row>
    <row r="28">
      <c r="A28" s="27" t="n"/>
      <c r="B28" s="27" t="n"/>
      <c r="C28" s="27" t="n"/>
      <c r="D28" s="27" t="n"/>
      <c r="E28" s="27" t="n"/>
      <c r="F28" s="27" t="n"/>
      <c r="G28" s="27" t="n"/>
      <c r="H28" s="27" t="n"/>
    </row>
    <row r="29">
      <c r="A29" s="27" t="n"/>
      <c r="B29" s="27" t="n"/>
      <c r="C29" s="27" t="n"/>
      <c r="D29" s="27" t="n"/>
      <c r="E29" s="27" t="n"/>
      <c r="F29" s="27" t="n"/>
      <c r="G29" s="27" t="n"/>
      <c r="H29" s="27" t="n"/>
    </row>
    <row r="30">
      <c r="A30" s="27" t="n"/>
      <c r="B30" s="27" t="n"/>
      <c r="C30" s="27" t="n"/>
      <c r="D30" s="27" t="n"/>
      <c r="E30" s="27" t="n"/>
      <c r="F30" s="27" t="n"/>
      <c r="G30" s="27" t="n"/>
      <c r="H30" s="27" t="n"/>
    </row>
    <row r="31">
      <c r="A31" s="27" t="n"/>
      <c r="B31" s="27" t="n"/>
      <c r="C31" s="27" t="n"/>
      <c r="D31" s="27" t="n"/>
      <c r="E31" s="27" t="n"/>
      <c r="F31" s="27" t="n"/>
      <c r="G31" s="27" t="n"/>
      <c r="H31" s="27" t="n"/>
    </row>
    <row r="32">
      <c r="A32" s="27" t="n"/>
      <c r="B32" s="27" t="n"/>
      <c r="C32" s="27" t="n"/>
      <c r="D32" s="27" t="n"/>
      <c r="E32" s="27" t="n"/>
      <c r="F32" s="27" t="n"/>
      <c r="G32" s="27" t="n"/>
      <c r="H32" s="27" t="n"/>
    </row>
    <row r="33">
      <c r="A33" s="27" t="n"/>
      <c r="B33" s="27" t="n"/>
      <c r="C33" s="27" t="n"/>
      <c r="D33" s="27" t="n"/>
      <c r="E33" s="27" t="n"/>
      <c r="F33" s="27" t="n"/>
      <c r="G33" s="27" t="n"/>
      <c r="H33" s="27" t="n"/>
    </row>
    <row r="34">
      <c r="A34" s="27" t="n"/>
      <c r="B34" s="27" t="n"/>
      <c r="C34" s="27" t="n"/>
      <c r="D34" s="27" t="n"/>
      <c r="E34" s="27" t="n"/>
      <c r="F34" s="27" t="n"/>
      <c r="G34" s="27" t="n"/>
      <c r="H34" s="27" t="n"/>
    </row>
    <row r="35">
      <c r="A35" s="27" t="n"/>
      <c r="B35" s="27" t="n"/>
      <c r="C35" s="27" t="n"/>
      <c r="D35" s="27" t="n"/>
      <c r="E35" s="27" t="n"/>
      <c r="F35" s="27" t="n"/>
      <c r="G35" s="27" t="n"/>
      <c r="H35" s="27" t="n"/>
    </row>
    <row r="36">
      <c r="A36" s="27" t="n"/>
      <c r="B36" s="27" t="n"/>
      <c r="C36" s="27" t="n"/>
      <c r="D36" s="27" t="n"/>
      <c r="E36" s="27" t="n"/>
      <c r="F36" s="27" t="n"/>
      <c r="G36" s="27" t="n"/>
      <c r="H36" s="27" t="n"/>
    </row>
    <row r="37">
      <c r="A37" s="27" t="n"/>
      <c r="B37" s="27" t="n"/>
      <c r="C37" s="27" t="n"/>
      <c r="D37" s="27" t="n"/>
      <c r="E37" s="27" t="n"/>
      <c r="F37" s="27" t="n"/>
      <c r="G37" s="27" t="n"/>
      <c r="H37" s="27" t="n"/>
    </row>
    <row r="38">
      <c r="A38" s="27" t="n"/>
      <c r="B38" s="27" t="n"/>
      <c r="C38" s="27" t="n"/>
      <c r="D38" s="27" t="n"/>
      <c r="E38" s="27" t="n"/>
      <c r="F38" s="27" t="n"/>
      <c r="G38" s="27" t="n"/>
      <c r="H38" s="27" t="n"/>
    </row>
    <row r="39">
      <c r="A39" s="27" t="n"/>
      <c r="B39" s="27" t="n"/>
      <c r="C39" s="27" t="n"/>
      <c r="D39" s="27" t="n"/>
      <c r="E39" s="27" t="n"/>
      <c r="F39" s="27" t="n"/>
      <c r="G39" s="27" t="n"/>
      <c r="H39" s="27" t="n"/>
    </row>
    <row r="40">
      <c r="A40" s="27" t="n"/>
      <c r="B40" s="27" t="n"/>
      <c r="C40" s="27" t="n"/>
      <c r="D40" s="27" t="n"/>
      <c r="E40" s="27" t="n"/>
      <c r="F40" s="27" t="n"/>
      <c r="G40" s="27" t="n"/>
      <c r="H40" s="27" t="n"/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28" customWidth="1" min="4" max="4"/>
    <col width="28" customWidth="1" min="5" max="5"/>
  </cols>
  <sheetData>
    <row r="1">
      <c r="A1" s="56" t="inlineStr">
        <is>
          <t>Portfolio Pulse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7" t="n"/>
      <c r="B2" s="27" t="n"/>
      <c r="C2" s="27" t="n"/>
      <c r="D2" s="27" t="n"/>
      <c r="E2" s="27" t="n"/>
      <c r="F2" s="27" t="n"/>
      <c r="G2" s="27" t="n"/>
      <c r="H2" s="27" t="n"/>
    </row>
    <row r="3">
      <c r="A3" s="35" t="inlineStr">
        <is>
          <t>Interactive Multi-Asset Portfolio &amp; Risk Analytics</t>
        </is>
      </c>
      <c r="B3" s="1" t="n"/>
      <c r="C3" s="1" t="n"/>
      <c r="D3" s="1" t="n"/>
      <c r="E3" s="1" t="n"/>
      <c r="F3" s="1" t="n"/>
      <c r="G3" s="1" t="n"/>
      <c r="H3" s="1" t="n"/>
    </row>
    <row r="4">
      <c r="A4" s="27" t="n"/>
      <c r="B4" s="27" t="n"/>
      <c r="C4" s="27" t="n"/>
      <c r="D4" s="27" t="n"/>
      <c r="E4" s="27" t="n"/>
      <c r="F4" s="27" t="n"/>
      <c r="G4" s="27" t="n"/>
      <c r="H4" s="27" t="n"/>
    </row>
    <row r="5">
      <c r="A5" s="45" t="inlineStr">
        <is>
          <t>Portfolio Value</t>
        </is>
      </c>
      <c r="B5" s="48">
        <f>Portfolio!B6</f>
        <v/>
      </c>
      <c r="C5" s="27" t="n"/>
      <c r="D5" s="30" t="inlineStr">
        <is>
          <t>Build Status</t>
        </is>
      </c>
      <c r="E5" s="30" t="inlineStr">
        <is>
          <t>State</t>
        </is>
      </c>
      <c r="F5" s="27" t="n"/>
      <c r="G5" s="27" t="n"/>
      <c r="H5" s="27" t="n"/>
    </row>
    <row r="6">
      <c r="A6" s="45" t="inlineStr">
        <is>
          <t>Risk Tolerance</t>
        </is>
      </c>
      <c r="B6" s="27">
        <f>Portfolio!B5</f>
        <v/>
      </c>
      <c r="C6" s="27" t="n"/>
      <c r="D6" s="27" t="inlineStr">
        <is>
          <t>Python analytics engine</t>
        </is>
      </c>
      <c r="E6" s="27" t="inlineStr">
        <is>
          <t>DONE</t>
        </is>
      </c>
      <c r="F6" s="27" t="n"/>
      <c r="G6" s="27" t="n"/>
      <c r="H6" s="27" t="n"/>
    </row>
    <row r="7">
      <c r="A7" s="45" t="inlineStr">
        <is>
          <t>Weight Check</t>
        </is>
      </c>
      <c r="B7" s="27">
        <f>Portfolio!B15</f>
        <v/>
      </c>
      <c r="C7" s="27" t="n"/>
      <c r="D7" s="27" t="inlineStr">
        <is>
          <t>Excel model shell</t>
        </is>
      </c>
      <c r="E7" s="27" t="inlineStr">
        <is>
          <t>DONE</t>
        </is>
      </c>
      <c r="F7" s="27" t="n"/>
      <c r="G7" s="27" t="n"/>
      <c r="H7" s="27" t="n"/>
    </row>
    <row r="8">
      <c r="A8" s="45" t="inlineStr">
        <is>
          <t>Benchmark</t>
        </is>
      </c>
      <c r="B8" s="27" t="inlineStr">
        <is>
          <t>60% VTI / 40% AGG</t>
        </is>
      </c>
      <c r="C8" s="27" t="n"/>
      <c r="D8" s="27" t="inlineStr">
        <is>
          <t>VBA automation modules</t>
        </is>
      </c>
      <c r="E8" s="27" t="inlineStr">
        <is>
          <t>STARTED</t>
        </is>
      </c>
      <c r="F8" s="27" t="n"/>
      <c r="G8" s="27" t="n"/>
      <c r="H8" s="27" t="n"/>
    </row>
    <row r="9">
      <c r="A9" s="45" t="inlineStr">
        <is>
          <t>Purpose</t>
        </is>
      </c>
      <c r="B9" s="27" t="inlineStr">
        <is>
          <t>Educational analysis — not personalized investment advice</t>
        </is>
      </c>
      <c r="C9" s="27" t="n"/>
      <c r="D9" s="27" t="inlineStr">
        <is>
          <t>Streamlit portfolio lab</t>
        </is>
      </c>
      <c r="E9" s="27" t="inlineStr">
        <is>
          <t>NEXT</t>
        </is>
      </c>
      <c r="F9" s="27" t="n"/>
      <c r="G9" s="27" t="n"/>
      <c r="H9" s="27" t="n"/>
    </row>
    <row r="10">
      <c r="A10" s="27" t="n"/>
      <c r="B10" s="27" t="n"/>
      <c r="C10" s="27" t="n"/>
      <c r="D10" s="27" t="inlineStr">
        <is>
          <t>Attribution + market regimes</t>
        </is>
      </c>
      <c r="E10" s="27" t="inlineStr">
        <is>
          <t>LATER</t>
        </is>
      </c>
      <c r="F10" s="27" t="n"/>
      <c r="G10" s="27" t="n"/>
      <c r="H10" s="27" t="n"/>
    </row>
    <row r="11">
      <c r="A11" s="27" t="n"/>
      <c r="B11" s="27" t="n"/>
      <c r="C11" s="27" t="n"/>
      <c r="D11" s="27" t="n"/>
      <c r="E11" s="27" t="n"/>
      <c r="F11" s="27" t="n"/>
      <c r="G11" s="27" t="n"/>
      <c r="H11" s="27" t="n"/>
    </row>
    <row r="12">
      <c r="A12" s="27" t="n"/>
      <c r="B12" s="27" t="n"/>
      <c r="C12" s="27" t="n"/>
      <c r="D12" s="27" t="inlineStr">
        <is>
          <t>Portfolio CAGR</t>
        </is>
      </c>
      <c r="E12" s="65" t="n">
        <v>0.1067534197667257</v>
      </c>
      <c r="F12" s="27" t="n"/>
      <c r="G12" s="27" t="n"/>
      <c r="H12" s="27" t="n"/>
    </row>
    <row r="13">
      <c r="A13" s="27" t="n"/>
      <c r="B13" s="27" t="n"/>
      <c r="C13" s="27" t="n"/>
      <c r="D13" s="27" t="inlineStr">
        <is>
          <t>60/40 CAGR</t>
        </is>
      </c>
      <c r="E13" s="65" t="n">
        <v>0.1032588317569594</v>
      </c>
      <c r="F13" s="27" t="n"/>
      <c r="G13" s="27" t="n"/>
      <c r="H13" s="27" t="n"/>
    </row>
    <row r="14">
      <c r="A14" s="27" t="n"/>
      <c r="B14" s="27" t="n"/>
      <c r="C14" s="27" t="n"/>
      <c r="D14" s="27" t="inlineStr">
        <is>
          <t>Portfolio Max Drawdown</t>
        </is>
      </c>
      <c r="E14" s="65" t="n">
        <v>-0.2164761678002022</v>
      </c>
      <c r="F14" s="27" t="n"/>
      <c r="G14" s="27" t="n"/>
      <c r="H14" s="27" t="n"/>
    </row>
    <row r="15">
      <c r="A15" s="27" t="n"/>
      <c r="B15" s="27" t="n"/>
      <c r="C15" s="27" t="n"/>
      <c r="D15" s="27" t="inlineStr">
        <is>
          <t>Sharpe Ratio</t>
        </is>
      </c>
      <c r="E15" s="58" t="n">
        <v>0.9599017649110848</v>
      </c>
      <c r="F15" s="27" t="n"/>
      <c r="G15" s="27" t="n"/>
      <c r="H15" s="27" t="n"/>
    </row>
    <row r="16">
      <c r="A16" s="27" t="n"/>
      <c r="B16" s="27" t="n"/>
      <c r="C16" s="27" t="n"/>
      <c r="D16" s="27" t="inlineStr">
        <is>
          <t>Excess Annualized Return</t>
        </is>
      </c>
      <c r="E16" s="65" t="n">
        <v>0.00349458800976632</v>
      </c>
      <c r="F16" s="27" t="n"/>
      <c r="G16" s="27" t="n"/>
      <c r="H16" s="27" t="n"/>
    </row>
    <row r="17">
      <c r="A17" s="27" t="n"/>
      <c r="B17" s="27" t="n"/>
      <c r="C17" s="27" t="n"/>
      <c r="D17" s="27" t="inlineStr">
        <is>
          <t>Ending Portfolio Value</t>
        </is>
      </c>
      <c r="E17" s="67" t="n">
        <v>18767.01054812572</v>
      </c>
      <c r="F17" s="27" t="n"/>
      <c r="G17" s="27" t="n"/>
      <c r="H17" s="27" t="n"/>
    </row>
    <row r="18">
      <c r="A18" s="27" t="n"/>
      <c r="B18" s="27" t="n"/>
      <c r="C18" s="27" t="n"/>
      <c r="D18" s="27" t="inlineStr">
        <is>
          <t>Ending 60/40 Value</t>
        </is>
      </c>
      <c r="E18" s="67" t="n">
        <v>18402.25000782801</v>
      </c>
      <c r="F18" s="27" t="n"/>
      <c r="G18" s="27" t="n"/>
      <c r="H18" s="27" t="n"/>
    </row>
    <row r="19">
      <c r="A19" s="27" t="n"/>
      <c r="B19" s="27" t="n"/>
      <c r="C19" s="27" t="n"/>
      <c r="D19" s="27" t="n"/>
      <c r="E19" s="27" t="n"/>
      <c r="F19" s="27" t="n"/>
      <c r="G19" s="27" t="n"/>
      <c r="H19" s="27" t="n"/>
    </row>
    <row r="20">
      <c r="A20" s="27" t="n"/>
      <c r="B20" s="27" t="n"/>
      <c r="C20" s="27" t="n"/>
      <c r="D20" s="27" t="n"/>
      <c r="E20" s="27" t="n"/>
      <c r="F20" s="27" t="n"/>
      <c r="G20" s="27" t="n"/>
      <c r="H20" s="27" t="n"/>
    </row>
    <row r="21">
      <c r="A21" s="27" t="n"/>
      <c r="B21" s="27" t="n"/>
      <c r="C21" s="27" t="n"/>
      <c r="D21" s="27" t="n"/>
      <c r="E21" s="27" t="n"/>
      <c r="F21" s="27" t="n"/>
      <c r="G21" s="27" t="n"/>
      <c r="H21" s="27" t="n"/>
    </row>
    <row r="22">
      <c r="A22" s="27" t="n"/>
      <c r="B22" s="27" t="n"/>
      <c r="C22" s="27" t="n"/>
      <c r="D22" s="27" t="n"/>
      <c r="E22" s="27" t="n"/>
      <c r="F22" s="27" t="n"/>
      <c r="G22" s="27" t="n"/>
      <c r="H22" s="27" t="n"/>
    </row>
    <row r="23">
      <c r="A23" s="27" t="n"/>
      <c r="B23" s="27" t="n"/>
      <c r="C23" s="27" t="n"/>
      <c r="D23" s="27" t="n"/>
      <c r="E23" s="27" t="n"/>
      <c r="F23" s="27" t="n"/>
      <c r="G23" s="27" t="n"/>
      <c r="H23" s="27" t="n"/>
    </row>
    <row r="24">
      <c r="A24" s="27" t="n"/>
      <c r="B24" s="27" t="n"/>
      <c r="C24" s="27" t="n"/>
      <c r="D24" s="27" t="n"/>
      <c r="E24" s="27" t="n"/>
      <c r="F24" s="27" t="n"/>
      <c r="G24" s="27" t="n"/>
      <c r="H24" s="27" t="n"/>
    </row>
    <row r="25">
      <c r="A25" s="27" t="n"/>
      <c r="B25" s="27" t="n"/>
      <c r="C25" s="27" t="n"/>
      <c r="D25" s="27" t="n"/>
      <c r="E25" s="27" t="n"/>
      <c r="F25" s="27" t="n"/>
      <c r="G25" s="27" t="n"/>
      <c r="H25" s="27" t="n"/>
    </row>
    <row r="26">
      <c r="A26" s="27" t="n"/>
      <c r="B26" s="27" t="n"/>
      <c r="C26" s="27" t="n"/>
      <c r="D26" s="27" t="n"/>
      <c r="E26" s="27" t="n"/>
      <c r="F26" s="27" t="n"/>
      <c r="G26" s="27" t="n"/>
      <c r="H26" s="27" t="n"/>
    </row>
    <row r="27">
      <c r="A27" s="27" t="n"/>
      <c r="B27" s="27" t="n"/>
      <c r="C27" s="27" t="n"/>
      <c r="D27" s="27" t="n"/>
      <c r="E27" s="27" t="n"/>
      <c r="F27" s="27" t="n"/>
      <c r="G27" s="27" t="n"/>
      <c r="H27" s="27" t="n"/>
    </row>
    <row r="28">
      <c r="A28" s="27" t="n"/>
      <c r="B28" s="27" t="n"/>
      <c r="C28" s="27" t="n"/>
      <c r="D28" s="27" t="n"/>
      <c r="E28" s="27" t="n"/>
      <c r="F28" s="27" t="n"/>
      <c r="G28" s="27" t="n"/>
      <c r="H28" s="27" t="n"/>
    </row>
    <row r="29">
      <c r="A29" s="27" t="n"/>
      <c r="B29" s="27" t="n"/>
      <c r="C29" s="27" t="n"/>
      <c r="D29" s="27" t="n"/>
      <c r="E29" s="27" t="n"/>
      <c r="F29" s="27" t="n"/>
      <c r="G29" s="27" t="n"/>
      <c r="H29" s="27" t="n"/>
    </row>
    <row r="30">
      <c r="A30" s="27" t="n"/>
      <c r="B30" s="27" t="n"/>
      <c r="C30" s="27" t="n"/>
      <c r="D30" s="27" t="n"/>
      <c r="E30" s="27" t="n"/>
      <c r="F30" s="27" t="n"/>
      <c r="G30" s="27" t="n"/>
      <c r="H30" s="27" t="n"/>
    </row>
    <row r="31">
      <c r="A31" s="27" t="n"/>
      <c r="B31" s="27" t="n"/>
      <c r="C31" s="27" t="n"/>
      <c r="D31" s="27" t="n"/>
      <c r="E31" s="27" t="n"/>
      <c r="F31" s="27" t="n"/>
      <c r="G31" s="27" t="n"/>
      <c r="H31" s="27" t="n"/>
    </row>
    <row r="32">
      <c r="A32" s="27" t="n"/>
      <c r="B32" s="27" t="n"/>
      <c r="C32" s="27" t="n"/>
      <c r="D32" s="27" t="n"/>
      <c r="E32" s="27" t="n"/>
      <c r="F32" s="27" t="n"/>
      <c r="G32" s="27" t="n"/>
      <c r="H32" s="27" t="n"/>
    </row>
    <row r="33">
      <c r="A33" s="27" t="n"/>
      <c r="B33" s="27" t="n"/>
      <c r="C33" s="27" t="n"/>
      <c r="D33" s="27" t="n"/>
      <c r="E33" s="27" t="n"/>
      <c r="F33" s="27" t="n"/>
      <c r="G33" s="27" t="n"/>
      <c r="H33" s="27" t="n"/>
    </row>
    <row r="34">
      <c r="A34" s="27" t="n"/>
      <c r="B34" s="27" t="n"/>
      <c r="C34" s="27" t="n"/>
      <c r="D34" s="27" t="n"/>
      <c r="E34" s="27" t="n"/>
      <c r="F34" s="27" t="n"/>
      <c r="G34" s="27" t="n"/>
      <c r="H34" s="27" t="n"/>
    </row>
    <row r="35">
      <c r="A35" s="27" t="n"/>
      <c r="B35" s="27" t="n"/>
      <c r="C35" s="27" t="n"/>
      <c r="D35" s="27" t="n"/>
      <c r="E35" s="27" t="n"/>
      <c r="F35" s="27" t="n"/>
      <c r="G35" s="27" t="n"/>
      <c r="H35" s="27" t="n"/>
    </row>
    <row r="36">
      <c r="A36" s="27" t="n"/>
      <c r="B36" s="27" t="n"/>
      <c r="C36" s="27" t="n"/>
      <c r="D36" s="27" t="n"/>
      <c r="E36" s="27" t="n"/>
      <c r="F36" s="27" t="n"/>
      <c r="G36" s="27" t="n"/>
      <c r="H36" s="27" t="n"/>
    </row>
    <row r="37">
      <c r="A37" s="27" t="n"/>
      <c r="B37" s="27" t="n"/>
      <c r="C37" s="27" t="n"/>
      <c r="D37" s="27" t="n"/>
      <c r="E37" s="27" t="n"/>
      <c r="F37" s="27" t="n"/>
      <c r="G37" s="27" t="n"/>
      <c r="H37" s="27" t="n"/>
    </row>
    <row r="38">
      <c r="A38" s="27" t="n"/>
      <c r="B38" s="27" t="n"/>
      <c r="C38" s="27" t="n"/>
      <c r="D38" s="27" t="n"/>
      <c r="E38" s="27" t="n"/>
      <c r="F38" s="27" t="n"/>
      <c r="G38" s="27" t="n"/>
      <c r="H38" s="27" t="n"/>
    </row>
    <row r="39">
      <c r="A39" s="27" t="n"/>
      <c r="B39" s="27" t="n"/>
      <c r="C39" s="27" t="n"/>
      <c r="D39" s="27" t="n"/>
      <c r="E39" s="27" t="n"/>
      <c r="F39" s="27" t="n"/>
      <c r="G39" s="27" t="n"/>
      <c r="H39" s="27" t="n"/>
    </row>
    <row r="40">
      <c r="A40" s="27" t="n"/>
      <c r="B40" s="27" t="n"/>
      <c r="C40" s="27" t="n"/>
      <c r="D40" s="27" t="n"/>
      <c r="E40" s="27" t="n"/>
      <c r="F40" s="27" t="n"/>
      <c r="G40" s="27" t="n"/>
      <c r="H40" s="27" t="n"/>
    </row>
  </sheetData>
  <mergeCells count="2">
    <mergeCell ref="A3:H3"/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2026-08-22T14:11:04Z</dcterms:created>
  <dcterms:modified xmlns:dcterms="http://purl.org/dc/terms/" xmlns:xsi="http://www.w3.org/2001/XMLSchema-instance" xsi:type="dcterms:W3CDTF">2026-08-22T14:43:23Z</dcterms:modified>
</cp:coreProperties>
</file>